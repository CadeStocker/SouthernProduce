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anagement Files/Luis/"/>
    </mc:Choice>
  </mc:AlternateContent>
  <xr:revisionPtr revIDLastSave="0" documentId="13_ncr:1_{F06B2476-2EBC-6042-A01E-CBF31300E5E6}" xr6:coauthVersionLast="47" xr6:coauthVersionMax="47" xr10:uidLastSave="{00000000-0000-0000-0000-000000000000}"/>
  <bookViews>
    <workbookView xWindow="1460" yWindow="620" windowWidth="40000" windowHeight="26360" activeTab="2" xr2:uid="{C2F20302-CC54-4C49-BB5A-1F5A01AD9D4C}"/>
  </bookViews>
  <sheets>
    <sheet name="Raw Cost" sheetId="1" r:id="rId1"/>
    <sheet name="Packaging Cost" sheetId="5" r:id="rId2"/>
    <sheet name="Master Item List" sheetId="2" r:id="rId3"/>
    <sheet name="NEW MARK UP LIST" sheetId="25" r:id="rId4"/>
    <sheet name="Combo Pricing" sheetId="6" r:id="rId5"/>
    <sheet name="COMPLETE MARK UP " sheetId="24" r:id="rId6"/>
    <sheet name="Labor Cost" sheetId="4" r:id="rId7"/>
    <sheet name="FRUIT CUPS" sheetId="23" r:id="rId8"/>
  </sheets>
  <definedNames>
    <definedName name="_xlnm._FilterDatabase" localSheetId="5" hidden="1">'COMPLETE MARK UP '!$A$1:$I$364</definedName>
    <definedName name="_xlnm._FilterDatabase" localSheetId="2">'Master Item List'!$A$1:$V$167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5" i="25" l="1"/>
  <c r="B183" i="25"/>
  <c r="B181" i="25"/>
  <c r="D10" i="25"/>
  <c r="E10" i="25" s="1"/>
  <c r="D19" i="25"/>
  <c r="E19" i="25" s="1"/>
  <c r="D20" i="25"/>
  <c r="E20" i="25" s="1"/>
  <c r="D34" i="25"/>
  <c r="E34" i="25" s="1"/>
  <c r="D35" i="25"/>
  <c r="E35" i="25" s="1"/>
  <c r="D46" i="25"/>
  <c r="E46" i="25" s="1"/>
  <c r="D47" i="25"/>
  <c r="E47" i="25" s="1"/>
  <c r="D58" i="25"/>
  <c r="E58" i="25" s="1"/>
  <c r="D59" i="25"/>
  <c r="E59" i="25" s="1"/>
  <c r="D70" i="25"/>
  <c r="E70" i="25" s="1"/>
  <c r="D71" i="25"/>
  <c r="E71" i="25" s="1"/>
  <c r="D83" i="25"/>
  <c r="E83" i="25" s="1"/>
  <c r="D84" i="25"/>
  <c r="E84" i="25" s="1"/>
  <c r="D96" i="25"/>
  <c r="E96" i="25" s="1"/>
  <c r="D103" i="25"/>
  <c r="E103" i="25" s="1"/>
  <c r="D115" i="25"/>
  <c r="E115" i="25" s="1"/>
  <c r="D116" i="25"/>
  <c r="E116" i="25" s="1"/>
  <c r="D117" i="25"/>
  <c r="E117" i="25" s="1"/>
  <c r="D128" i="25"/>
  <c r="E128" i="25" s="1"/>
  <c r="D130" i="25"/>
  <c r="E130" i="25" s="1"/>
  <c r="D142" i="25"/>
  <c r="E142" i="25" s="1"/>
  <c r="D143" i="25"/>
  <c r="E143" i="25" s="1"/>
  <c r="D155" i="25"/>
  <c r="E155" i="25" s="1"/>
  <c r="D156" i="25"/>
  <c r="E156" i="25" s="1"/>
  <c r="D168" i="25"/>
  <c r="E168" i="25" s="1"/>
  <c r="D169" i="25"/>
  <c r="E169" i="25" s="1"/>
  <c r="D174" i="25"/>
  <c r="E174" i="25" s="1"/>
  <c r="D175" i="25"/>
  <c r="E175" i="25" s="1"/>
  <c r="D181" i="25"/>
  <c r="E181" i="25" s="1"/>
  <c r="D182" i="25"/>
  <c r="E182" i="25" s="1"/>
  <c r="D187" i="25"/>
  <c r="E187" i="25" s="1"/>
  <c r="D188" i="25"/>
  <c r="E188" i="25" s="1"/>
  <c r="D189" i="25"/>
  <c r="E189" i="25" s="1"/>
  <c r="D194" i="25"/>
  <c r="E194" i="25" s="1"/>
  <c r="D200" i="25"/>
  <c r="E200" i="25" s="1"/>
  <c r="D201" i="25"/>
  <c r="E201" i="25" s="1"/>
  <c r="D202" i="25"/>
  <c r="E202" i="25" s="1"/>
  <c r="D214" i="25"/>
  <c r="E214" i="25" s="1"/>
  <c r="D215" i="25"/>
  <c r="E215" i="25" s="1"/>
  <c r="D227" i="25"/>
  <c r="E227" i="25" s="1"/>
  <c r="D228" i="25"/>
  <c r="E228" i="25" s="1"/>
  <c r="D235" i="25"/>
  <c r="E235" i="25" s="1"/>
  <c r="D240" i="25"/>
  <c r="E240" i="25" s="1"/>
  <c r="D241" i="25"/>
  <c r="E241" i="25" s="1"/>
  <c r="D247" i="25"/>
  <c r="E247" i="25" s="1"/>
  <c r="D248" i="25"/>
  <c r="E248" i="25" s="1"/>
  <c r="D253" i="25"/>
  <c r="E253" i="25" s="1"/>
  <c r="D254" i="25"/>
  <c r="E254" i="25" s="1"/>
  <c r="D260" i="25"/>
  <c r="E260" i="25" s="1"/>
  <c r="D261" i="25"/>
  <c r="E261" i="25" s="1"/>
  <c r="D266" i="25"/>
  <c r="E266" i="25" s="1"/>
  <c r="D273" i="25"/>
  <c r="E273" i="25" s="1"/>
  <c r="D274" i="25"/>
  <c r="E274" i="25" s="1"/>
  <c r="D286" i="25"/>
  <c r="E286" i="25" s="1"/>
  <c r="D287" i="25"/>
  <c r="E287" i="25"/>
  <c r="D299" i="25"/>
  <c r="E299" i="25" s="1"/>
  <c r="D300" i="25"/>
  <c r="E300" i="25" s="1"/>
  <c r="D307" i="25"/>
  <c r="E307" i="25" s="1"/>
  <c r="D312" i="25"/>
  <c r="E312" i="25" s="1"/>
  <c r="D313" i="25"/>
  <c r="E313" i="25"/>
  <c r="D319" i="25"/>
  <c r="E319" i="25" s="1"/>
  <c r="D320" i="25"/>
  <c r="E320" i="25" s="1"/>
  <c r="D325" i="25"/>
  <c r="E325" i="25" s="1"/>
  <c r="D326" i="25"/>
  <c r="E326" i="25" s="1"/>
  <c r="D332" i="25"/>
  <c r="E332" i="25" s="1"/>
  <c r="D333" i="25"/>
  <c r="E333" i="25" s="1"/>
  <c r="D334" i="25"/>
  <c r="E334" i="25" s="1"/>
  <c r="C3" i="25"/>
  <c r="D3" i="25" s="1"/>
  <c r="E3" i="25" s="1"/>
  <c r="C4" i="25"/>
  <c r="D4" i="25" s="1"/>
  <c r="E4" i="25" s="1"/>
  <c r="C5" i="25"/>
  <c r="D5" i="25" s="1"/>
  <c r="E5" i="25" s="1"/>
  <c r="C6" i="25"/>
  <c r="D6" i="25" s="1"/>
  <c r="E6" i="25" s="1"/>
  <c r="C7" i="25"/>
  <c r="D7" i="25" s="1"/>
  <c r="E7" i="25" s="1"/>
  <c r="C8" i="25"/>
  <c r="D8" i="25" s="1"/>
  <c r="E8" i="25" s="1"/>
  <c r="C9" i="25"/>
  <c r="D9" i="25" s="1"/>
  <c r="E9" i="25" s="1"/>
  <c r="C10" i="25"/>
  <c r="C11" i="25"/>
  <c r="D11" i="25" s="1"/>
  <c r="E11" i="25" s="1"/>
  <c r="C12" i="25"/>
  <c r="D12" i="25" s="1"/>
  <c r="E12" i="25" s="1"/>
  <c r="C13" i="25"/>
  <c r="D13" i="25" s="1"/>
  <c r="E13" i="25" s="1"/>
  <c r="C14" i="25"/>
  <c r="D14" i="25" s="1"/>
  <c r="E14" i="25" s="1"/>
  <c r="C15" i="25"/>
  <c r="D15" i="25" s="1"/>
  <c r="E15" i="25" s="1"/>
  <c r="C16" i="25"/>
  <c r="D16" i="25" s="1"/>
  <c r="E16" i="25" s="1"/>
  <c r="C17" i="25"/>
  <c r="D17" i="25" s="1"/>
  <c r="E17" i="25" s="1"/>
  <c r="C18" i="25"/>
  <c r="D18" i="25" s="1"/>
  <c r="E18" i="25" s="1"/>
  <c r="C19" i="25"/>
  <c r="C20" i="25"/>
  <c r="C21" i="25"/>
  <c r="D21" i="25" s="1"/>
  <c r="E21" i="25" s="1"/>
  <c r="C22" i="25"/>
  <c r="D22" i="25" s="1"/>
  <c r="E22" i="25" s="1"/>
  <c r="C23" i="25"/>
  <c r="D23" i="25" s="1"/>
  <c r="E23" i="25" s="1"/>
  <c r="C24" i="25"/>
  <c r="D24" i="25" s="1"/>
  <c r="E24" i="25" s="1"/>
  <c r="C25" i="25"/>
  <c r="D25" i="25" s="1"/>
  <c r="E25" i="25" s="1"/>
  <c r="C26" i="25"/>
  <c r="D26" i="25" s="1"/>
  <c r="E26" i="25" s="1"/>
  <c r="C27" i="25"/>
  <c r="D27" i="25" s="1"/>
  <c r="E27" i="25" s="1"/>
  <c r="C28" i="25"/>
  <c r="D28" i="25" s="1"/>
  <c r="E28" i="25" s="1"/>
  <c r="C29" i="25"/>
  <c r="D29" i="25" s="1"/>
  <c r="E29" i="25" s="1"/>
  <c r="C30" i="25"/>
  <c r="D30" i="25" s="1"/>
  <c r="E30" i="25" s="1"/>
  <c r="C31" i="25"/>
  <c r="D31" i="25" s="1"/>
  <c r="E31" i="25" s="1"/>
  <c r="C32" i="25"/>
  <c r="D32" i="25" s="1"/>
  <c r="E32" i="25" s="1"/>
  <c r="C33" i="25"/>
  <c r="D33" i="25" s="1"/>
  <c r="E33" i="25" s="1"/>
  <c r="C34" i="25"/>
  <c r="C35" i="25"/>
  <c r="C36" i="25"/>
  <c r="D36" i="25" s="1"/>
  <c r="E36" i="25" s="1"/>
  <c r="C37" i="25"/>
  <c r="D37" i="25" s="1"/>
  <c r="E37" i="25" s="1"/>
  <c r="C38" i="25"/>
  <c r="D38" i="25" s="1"/>
  <c r="E38" i="25" s="1"/>
  <c r="C39" i="25"/>
  <c r="D39" i="25" s="1"/>
  <c r="E39" i="25" s="1"/>
  <c r="C40" i="25"/>
  <c r="D40" i="25" s="1"/>
  <c r="E40" i="25" s="1"/>
  <c r="C41" i="25"/>
  <c r="D41" i="25" s="1"/>
  <c r="E41" i="25" s="1"/>
  <c r="C42" i="25"/>
  <c r="D42" i="25" s="1"/>
  <c r="E42" i="25" s="1"/>
  <c r="C43" i="25"/>
  <c r="D43" i="25" s="1"/>
  <c r="E43" i="25" s="1"/>
  <c r="C44" i="25"/>
  <c r="D44" i="25" s="1"/>
  <c r="E44" i="25" s="1"/>
  <c r="C45" i="25"/>
  <c r="D45" i="25" s="1"/>
  <c r="E45" i="25" s="1"/>
  <c r="C46" i="25"/>
  <c r="C47" i="25"/>
  <c r="C48" i="25"/>
  <c r="D48" i="25" s="1"/>
  <c r="E48" i="25" s="1"/>
  <c r="C49" i="25"/>
  <c r="D49" i="25" s="1"/>
  <c r="E49" i="25" s="1"/>
  <c r="C50" i="25"/>
  <c r="D50" i="25" s="1"/>
  <c r="E50" i="25" s="1"/>
  <c r="C51" i="25"/>
  <c r="D51" i="25" s="1"/>
  <c r="E51" i="25" s="1"/>
  <c r="C52" i="25"/>
  <c r="D52" i="25" s="1"/>
  <c r="E52" i="25" s="1"/>
  <c r="C53" i="25"/>
  <c r="D53" i="25" s="1"/>
  <c r="E53" i="25" s="1"/>
  <c r="C54" i="25"/>
  <c r="D54" i="25" s="1"/>
  <c r="E54" i="25" s="1"/>
  <c r="C55" i="25"/>
  <c r="D55" i="25" s="1"/>
  <c r="E55" i="25" s="1"/>
  <c r="C56" i="25"/>
  <c r="D56" i="25" s="1"/>
  <c r="E56" i="25" s="1"/>
  <c r="C57" i="25"/>
  <c r="D57" i="25" s="1"/>
  <c r="E57" i="25" s="1"/>
  <c r="C58" i="25"/>
  <c r="C59" i="25"/>
  <c r="C60" i="25"/>
  <c r="D60" i="25" s="1"/>
  <c r="E60" i="25" s="1"/>
  <c r="C61" i="25"/>
  <c r="D61" i="25" s="1"/>
  <c r="E61" i="25" s="1"/>
  <c r="C62" i="25"/>
  <c r="D62" i="25" s="1"/>
  <c r="E62" i="25" s="1"/>
  <c r="C63" i="25"/>
  <c r="D63" i="25" s="1"/>
  <c r="E63" i="25" s="1"/>
  <c r="C64" i="25"/>
  <c r="D64" i="25" s="1"/>
  <c r="E64" i="25" s="1"/>
  <c r="C65" i="25"/>
  <c r="D65" i="25" s="1"/>
  <c r="E65" i="25" s="1"/>
  <c r="C66" i="25"/>
  <c r="D66" i="25" s="1"/>
  <c r="E66" i="25" s="1"/>
  <c r="C67" i="25"/>
  <c r="D67" i="25" s="1"/>
  <c r="E67" i="25" s="1"/>
  <c r="C68" i="25"/>
  <c r="D68" i="25" s="1"/>
  <c r="E68" i="25" s="1"/>
  <c r="C69" i="25"/>
  <c r="D69" i="25" s="1"/>
  <c r="E69" i="25" s="1"/>
  <c r="C70" i="25"/>
  <c r="C71" i="25"/>
  <c r="C72" i="25"/>
  <c r="D72" i="25" s="1"/>
  <c r="E72" i="25" s="1"/>
  <c r="C73" i="25"/>
  <c r="D73" i="25" s="1"/>
  <c r="E73" i="25" s="1"/>
  <c r="C74" i="25"/>
  <c r="D74" i="25" s="1"/>
  <c r="E74" i="25" s="1"/>
  <c r="C75" i="25"/>
  <c r="D75" i="25" s="1"/>
  <c r="E75" i="25" s="1"/>
  <c r="C76" i="25"/>
  <c r="D76" i="25" s="1"/>
  <c r="E76" i="25" s="1"/>
  <c r="C77" i="25"/>
  <c r="D77" i="25" s="1"/>
  <c r="E77" i="25" s="1"/>
  <c r="C78" i="25"/>
  <c r="D78" i="25" s="1"/>
  <c r="E78" i="25" s="1"/>
  <c r="C79" i="25"/>
  <c r="D79" i="25" s="1"/>
  <c r="E79" i="25" s="1"/>
  <c r="C80" i="25"/>
  <c r="D80" i="25" s="1"/>
  <c r="E80" i="25" s="1"/>
  <c r="C81" i="25"/>
  <c r="D81" i="25" s="1"/>
  <c r="E81" i="25" s="1"/>
  <c r="C82" i="25"/>
  <c r="D82" i="25" s="1"/>
  <c r="E82" i="25" s="1"/>
  <c r="C83" i="25"/>
  <c r="C84" i="25"/>
  <c r="C85" i="25"/>
  <c r="D85" i="25" s="1"/>
  <c r="E85" i="25" s="1"/>
  <c r="C86" i="25"/>
  <c r="D86" i="25" s="1"/>
  <c r="E86" i="25" s="1"/>
  <c r="C87" i="25"/>
  <c r="D87" i="25" s="1"/>
  <c r="E87" i="25" s="1"/>
  <c r="C88" i="25"/>
  <c r="D88" i="25" s="1"/>
  <c r="E88" i="25" s="1"/>
  <c r="C89" i="25"/>
  <c r="D89" i="25" s="1"/>
  <c r="E89" i="25" s="1"/>
  <c r="C90" i="25"/>
  <c r="D90" i="25" s="1"/>
  <c r="E90" i="25" s="1"/>
  <c r="C91" i="25"/>
  <c r="D91" i="25" s="1"/>
  <c r="E91" i="25" s="1"/>
  <c r="C92" i="25"/>
  <c r="D92" i="25" s="1"/>
  <c r="E92" i="25" s="1"/>
  <c r="C93" i="25"/>
  <c r="D93" i="25" s="1"/>
  <c r="E93" i="25" s="1"/>
  <c r="C94" i="25"/>
  <c r="D94" i="25" s="1"/>
  <c r="E94" i="25" s="1"/>
  <c r="C95" i="25"/>
  <c r="D95" i="25" s="1"/>
  <c r="E95" i="25" s="1"/>
  <c r="C96" i="25"/>
  <c r="C97" i="25"/>
  <c r="D97" i="25" s="1"/>
  <c r="E97" i="25" s="1"/>
  <c r="C98" i="25"/>
  <c r="D98" i="25" s="1"/>
  <c r="E98" i="25" s="1"/>
  <c r="C99" i="25"/>
  <c r="D99" i="25" s="1"/>
  <c r="E99" i="25" s="1"/>
  <c r="C100" i="25"/>
  <c r="D100" i="25" s="1"/>
  <c r="E100" i="25" s="1"/>
  <c r="C101" i="25"/>
  <c r="D101" i="25" s="1"/>
  <c r="E101" i="25" s="1"/>
  <c r="C102" i="25"/>
  <c r="D102" i="25" s="1"/>
  <c r="E102" i="25" s="1"/>
  <c r="C103" i="25"/>
  <c r="C104" i="25"/>
  <c r="D104" i="25" s="1"/>
  <c r="E104" i="25" s="1"/>
  <c r="C105" i="25"/>
  <c r="D105" i="25" s="1"/>
  <c r="E105" i="25" s="1"/>
  <c r="C106" i="25"/>
  <c r="D106" i="25" s="1"/>
  <c r="E106" i="25" s="1"/>
  <c r="C107" i="25"/>
  <c r="D107" i="25" s="1"/>
  <c r="E107" i="25" s="1"/>
  <c r="C108" i="25"/>
  <c r="D108" i="25" s="1"/>
  <c r="E108" i="25" s="1"/>
  <c r="C109" i="25"/>
  <c r="D109" i="25" s="1"/>
  <c r="E109" i="25" s="1"/>
  <c r="C110" i="25"/>
  <c r="D110" i="25" s="1"/>
  <c r="E110" i="25" s="1"/>
  <c r="C111" i="25"/>
  <c r="D111" i="25" s="1"/>
  <c r="E111" i="25" s="1"/>
  <c r="C112" i="25"/>
  <c r="D112" i="25" s="1"/>
  <c r="E112" i="25" s="1"/>
  <c r="C113" i="25"/>
  <c r="D113" i="25" s="1"/>
  <c r="E113" i="25" s="1"/>
  <c r="C114" i="25"/>
  <c r="D114" i="25" s="1"/>
  <c r="E114" i="25" s="1"/>
  <c r="C115" i="25"/>
  <c r="C116" i="25"/>
  <c r="C117" i="25"/>
  <c r="C118" i="25"/>
  <c r="D118" i="25" s="1"/>
  <c r="E118" i="25" s="1"/>
  <c r="C119" i="25"/>
  <c r="D119" i="25" s="1"/>
  <c r="E119" i="25" s="1"/>
  <c r="C120" i="25"/>
  <c r="D120" i="25" s="1"/>
  <c r="E120" i="25" s="1"/>
  <c r="C121" i="25"/>
  <c r="D121" i="25" s="1"/>
  <c r="E121" i="25" s="1"/>
  <c r="C122" i="25"/>
  <c r="D122" i="25" s="1"/>
  <c r="E122" i="25" s="1"/>
  <c r="C123" i="25"/>
  <c r="D123" i="25" s="1"/>
  <c r="E123" i="25" s="1"/>
  <c r="C124" i="25"/>
  <c r="D124" i="25" s="1"/>
  <c r="E124" i="25" s="1"/>
  <c r="C125" i="25"/>
  <c r="D125" i="25" s="1"/>
  <c r="E125" i="25" s="1"/>
  <c r="C126" i="25"/>
  <c r="D126" i="25" s="1"/>
  <c r="E126" i="25" s="1"/>
  <c r="C127" i="25"/>
  <c r="D127" i="25" s="1"/>
  <c r="E127" i="25" s="1"/>
  <c r="C128" i="25"/>
  <c r="C130" i="25"/>
  <c r="C131" i="25"/>
  <c r="D131" i="25" s="1"/>
  <c r="E131" i="25" s="1"/>
  <c r="C132" i="25"/>
  <c r="D132" i="25" s="1"/>
  <c r="E132" i="25" s="1"/>
  <c r="C133" i="25"/>
  <c r="D133" i="25" s="1"/>
  <c r="E133" i="25" s="1"/>
  <c r="C134" i="25"/>
  <c r="D134" i="25" s="1"/>
  <c r="E134" i="25" s="1"/>
  <c r="C135" i="25"/>
  <c r="D135" i="25" s="1"/>
  <c r="E135" i="25" s="1"/>
  <c r="C136" i="25"/>
  <c r="D136" i="25" s="1"/>
  <c r="E136" i="25" s="1"/>
  <c r="C137" i="25"/>
  <c r="D137" i="25" s="1"/>
  <c r="E137" i="25" s="1"/>
  <c r="C138" i="25"/>
  <c r="D138" i="25" s="1"/>
  <c r="E138" i="25" s="1"/>
  <c r="C139" i="25"/>
  <c r="D139" i="25" s="1"/>
  <c r="E139" i="25" s="1"/>
  <c r="C140" i="25"/>
  <c r="D140" i="25" s="1"/>
  <c r="E140" i="25" s="1"/>
  <c r="C141" i="25"/>
  <c r="D141" i="25" s="1"/>
  <c r="E141" i="25" s="1"/>
  <c r="C142" i="25"/>
  <c r="C143" i="25"/>
  <c r="C144" i="25"/>
  <c r="D144" i="25" s="1"/>
  <c r="E144" i="25" s="1"/>
  <c r="C145" i="25"/>
  <c r="D145" i="25" s="1"/>
  <c r="E145" i="25" s="1"/>
  <c r="C146" i="25"/>
  <c r="D146" i="25" s="1"/>
  <c r="E146" i="25" s="1"/>
  <c r="C147" i="25"/>
  <c r="D147" i="25" s="1"/>
  <c r="E147" i="25" s="1"/>
  <c r="C148" i="25"/>
  <c r="D148" i="25" s="1"/>
  <c r="E148" i="25" s="1"/>
  <c r="C149" i="25"/>
  <c r="D149" i="25" s="1"/>
  <c r="E149" i="25" s="1"/>
  <c r="C150" i="25"/>
  <c r="D150" i="25" s="1"/>
  <c r="E150" i="25" s="1"/>
  <c r="C151" i="25"/>
  <c r="D151" i="25" s="1"/>
  <c r="E151" i="25" s="1"/>
  <c r="C152" i="25"/>
  <c r="D152" i="25" s="1"/>
  <c r="E152" i="25" s="1"/>
  <c r="C153" i="25"/>
  <c r="D153" i="25" s="1"/>
  <c r="E153" i="25" s="1"/>
  <c r="C154" i="25"/>
  <c r="D154" i="25" s="1"/>
  <c r="E154" i="25" s="1"/>
  <c r="C155" i="25"/>
  <c r="C156" i="25"/>
  <c r="C157" i="25"/>
  <c r="D157" i="25" s="1"/>
  <c r="E157" i="25" s="1"/>
  <c r="C158" i="25"/>
  <c r="D158" i="25" s="1"/>
  <c r="E158" i="25" s="1"/>
  <c r="C159" i="25"/>
  <c r="D159" i="25" s="1"/>
  <c r="E159" i="25" s="1"/>
  <c r="C160" i="25"/>
  <c r="D160" i="25" s="1"/>
  <c r="E160" i="25" s="1"/>
  <c r="C161" i="25"/>
  <c r="D161" i="25" s="1"/>
  <c r="E161" i="25" s="1"/>
  <c r="C162" i="25"/>
  <c r="D162" i="25" s="1"/>
  <c r="E162" i="25" s="1"/>
  <c r="C163" i="25"/>
  <c r="D163" i="25" s="1"/>
  <c r="E163" i="25" s="1"/>
  <c r="C164" i="25"/>
  <c r="D164" i="25" s="1"/>
  <c r="E164" i="25" s="1"/>
  <c r="C165" i="25"/>
  <c r="D165" i="25" s="1"/>
  <c r="E165" i="25" s="1"/>
  <c r="C166" i="25"/>
  <c r="D166" i="25" s="1"/>
  <c r="E166" i="25" s="1"/>
  <c r="C167" i="25"/>
  <c r="D167" i="25" s="1"/>
  <c r="E167" i="25" s="1"/>
  <c r="C168" i="25"/>
  <c r="C169" i="25"/>
  <c r="C170" i="25"/>
  <c r="D170" i="25" s="1"/>
  <c r="E170" i="25" s="1"/>
  <c r="C171" i="25"/>
  <c r="D171" i="25" s="1"/>
  <c r="E171" i="25" s="1"/>
  <c r="C172" i="25"/>
  <c r="D172" i="25" s="1"/>
  <c r="E172" i="25" s="1"/>
  <c r="C173" i="25"/>
  <c r="D173" i="25" s="1"/>
  <c r="E173" i="25" s="1"/>
  <c r="C174" i="25"/>
  <c r="C175" i="25"/>
  <c r="C176" i="25"/>
  <c r="D176" i="25" s="1"/>
  <c r="E176" i="25" s="1"/>
  <c r="C177" i="25"/>
  <c r="D177" i="25" s="1"/>
  <c r="E177" i="25" s="1"/>
  <c r="C178" i="25"/>
  <c r="D178" i="25" s="1"/>
  <c r="E178" i="25" s="1"/>
  <c r="C179" i="25"/>
  <c r="D179" i="25" s="1"/>
  <c r="E179" i="25" s="1"/>
  <c r="C180" i="25"/>
  <c r="D180" i="25" s="1"/>
  <c r="E180" i="25" s="1"/>
  <c r="C181" i="25"/>
  <c r="C182" i="25"/>
  <c r="C183" i="25"/>
  <c r="D183" i="25" s="1"/>
  <c r="E183" i="25" s="1"/>
  <c r="C184" i="25"/>
  <c r="D184" i="25" s="1"/>
  <c r="E184" i="25" s="1"/>
  <c r="C185" i="25"/>
  <c r="D185" i="25" s="1"/>
  <c r="E185" i="25" s="1"/>
  <c r="C186" i="25"/>
  <c r="D186" i="25" s="1"/>
  <c r="E186" i="25" s="1"/>
  <c r="C187" i="25"/>
  <c r="C188" i="25"/>
  <c r="C189" i="25"/>
  <c r="C190" i="25"/>
  <c r="D190" i="25" s="1"/>
  <c r="E190" i="25" s="1"/>
  <c r="C191" i="25"/>
  <c r="D191" i="25" s="1"/>
  <c r="E191" i="25" s="1"/>
  <c r="C192" i="25"/>
  <c r="D192" i="25" s="1"/>
  <c r="E192" i="25" s="1"/>
  <c r="C193" i="25"/>
  <c r="D193" i="25" s="1"/>
  <c r="E193" i="25" s="1"/>
  <c r="C194" i="25"/>
  <c r="C195" i="25"/>
  <c r="D195" i="25" s="1"/>
  <c r="E195" i="25" s="1"/>
  <c r="C196" i="25"/>
  <c r="D196" i="25" s="1"/>
  <c r="E196" i="25" s="1"/>
  <c r="C197" i="25"/>
  <c r="D197" i="25" s="1"/>
  <c r="E197" i="25" s="1"/>
  <c r="C198" i="25"/>
  <c r="D198" i="25" s="1"/>
  <c r="E198" i="25" s="1"/>
  <c r="C199" i="25"/>
  <c r="D199" i="25" s="1"/>
  <c r="E199" i="25" s="1"/>
  <c r="C200" i="25"/>
  <c r="C201" i="25"/>
  <c r="C202" i="25"/>
  <c r="C203" i="25"/>
  <c r="D203" i="25" s="1"/>
  <c r="E203" i="25" s="1"/>
  <c r="C204" i="25"/>
  <c r="D204" i="25" s="1"/>
  <c r="E204" i="25" s="1"/>
  <c r="C205" i="25"/>
  <c r="D205" i="25" s="1"/>
  <c r="E205" i="25" s="1"/>
  <c r="C206" i="25"/>
  <c r="D206" i="25" s="1"/>
  <c r="E206" i="25" s="1"/>
  <c r="C207" i="25"/>
  <c r="D207" i="25" s="1"/>
  <c r="E207" i="25" s="1"/>
  <c r="C208" i="25"/>
  <c r="D208" i="25" s="1"/>
  <c r="E208" i="25" s="1"/>
  <c r="C209" i="25"/>
  <c r="D209" i="25" s="1"/>
  <c r="E209" i="25" s="1"/>
  <c r="C210" i="25"/>
  <c r="D210" i="25" s="1"/>
  <c r="E210" i="25" s="1"/>
  <c r="C211" i="25"/>
  <c r="D211" i="25" s="1"/>
  <c r="E211" i="25" s="1"/>
  <c r="C212" i="25"/>
  <c r="D212" i="25" s="1"/>
  <c r="E212" i="25" s="1"/>
  <c r="C213" i="25"/>
  <c r="D213" i="25" s="1"/>
  <c r="E213" i="25" s="1"/>
  <c r="C214" i="25"/>
  <c r="C215" i="25"/>
  <c r="C216" i="25"/>
  <c r="D216" i="25" s="1"/>
  <c r="E216" i="25" s="1"/>
  <c r="C217" i="25"/>
  <c r="D217" i="25" s="1"/>
  <c r="E217" i="25" s="1"/>
  <c r="C218" i="25"/>
  <c r="D218" i="25" s="1"/>
  <c r="E218" i="25" s="1"/>
  <c r="C219" i="25"/>
  <c r="D219" i="25" s="1"/>
  <c r="E219" i="25" s="1"/>
  <c r="C220" i="25"/>
  <c r="D220" i="25" s="1"/>
  <c r="E220" i="25" s="1"/>
  <c r="C221" i="25"/>
  <c r="D221" i="25" s="1"/>
  <c r="E221" i="25" s="1"/>
  <c r="C222" i="25"/>
  <c r="D222" i="25" s="1"/>
  <c r="E222" i="25" s="1"/>
  <c r="C223" i="25"/>
  <c r="D223" i="25" s="1"/>
  <c r="E223" i="25" s="1"/>
  <c r="C224" i="25"/>
  <c r="D224" i="25" s="1"/>
  <c r="E224" i="25" s="1"/>
  <c r="C225" i="25"/>
  <c r="D225" i="25" s="1"/>
  <c r="E225" i="25" s="1"/>
  <c r="C226" i="25"/>
  <c r="D226" i="25" s="1"/>
  <c r="E226" i="25" s="1"/>
  <c r="C227" i="25"/>
  <c r="C228" i="25"/>
  <c r="C229" i="25"/>
  <c r="D229" i="25" s="1"/>
  <c r="E229" i="25" s="1"/>
  <c r="C230" i="25"/>
  <c r="D230" i="25" s="1"/>
  <c r="E230" i="25" s="1"/>
  <c r="C231" i="25"/>
  <c r="D231" i="25" s="1"/>
  <c r="E231" i="25" s="1"/>
  <c r="C232" i="25"/>
  <c r="D232" i="25" s="1"/>
  <c r="E232" i="25" s="1"/>
  <c r="C233" i="25"/>
  <c r="D233" i="25" s="1"/>
  <c r="E233" i="25" s="1"/>
  <c r="C234" i="25"/>
  <c r="D234" i="25" s="1"/>
  <c r="E234" i="25" s="1"/>
  <c r="C235" i="25"/>
  <c r="C236" i="25"/>
  <c r="D236" i="25" s="1"/>
  <c r="E236" i="25" s="1"/>
  <c r="C237" i="25"/>
  <c r="D237" i="25" s="1"/>
  <c r="E237" i="25" s="1"/>
  <c r="C238" i="25"/>
  <c r="D238" i="25" s="1"/>
  <c r="E238" i="25" s="1"/>
  <c r="C239" i="25"/>
  <c r="D239" i="25" s="1"/>
  <c r="E239" i="25" s="1"/>
  <c r="C240" i="25"/>
  <c r="C241" i="25"/>
  <c r="C242" i="25"/>
  <c r="D242" i="25" s="1"/>
  <c r="E242" i="25" s="1"/>
  <c r="C243" i="25"/>
  <c r="D243" i="25" s="1"/>
  <c r="E243" i="25" s="1"/>
  <c r="C244" i="25"/>
  <c r="D244" i="25" s="1"/>
  <c r="E244" i="25" s="1"/>
  <c r="C245" i="25"/>
  <c r="D245" i="25" s="1"/>
  <c r="E245" i="25" s="1"/>
  <c r="C246" i="25"/>
  <c r="D246" i="25" s="1"/>
  <c r="E246" i="25" s="1"/>
  <c r="C247" i="25"/>
  <c r="C248" i="25"/>
  <c r="C249" i="25"/>
  <c r="D249" i="25" s="1"/>
  <c r="E249" i="25" s="1"/>
  <c r="C250" i="25"/>
  <c r="D250" i="25" s="1"/>
  <c r="E250" i="25" s="1"/>
  <c r="C251" i="25"/>
  <c r="D251" i="25" s="1"/>
  <c r="E251" i="25" s="1"/>
  <c r="C252" i="25"/>
  <c r="D252" i="25" s="1"/>
  <c r="E252" i="25" s="1"/>
  <c r="C253" i="25"/>
  <c r="C254" i="25"/>
  <c r="C255" i="25"/>
  <c r="D255" i="25" s="1"/>
  <c r="E255" i="25" s="1"/>
  <c r="C256" i="25"/>
  <c r="D256" i="25" s="1"/>
  <c r="E256" i="25" s="1"/>
  <c r="C257" i="25"/>
  <c r="D257" i="25" s="1"/>
  <c r="E257" i="25" s="1"/>
  <c r="C258" i="25"/>
  <c r="D258" i="25" s="1"/>
  <c r="E258" i="25" s="1"/>
  <c r="C259" i="25"/>
  <c r="D259" i="25" s="1"/>
  <c r="E259" i="25" s="1"/>
  <c r="C260" i="25"/>
  <c r="C261" i="25"/>
  <c r="C262" i="25"/>
  <c r="D262" i="25" s="1"/>
  <c r="E262" i="25" s="1"/>
  <c r="C263" i="25"/>
  <c r="D263" i="25" s="1"/>
  <c r="E263" i="25" s="1"/>
  <c r="C264" i="25"/>
  <c r="D264" i="25" s="1"/>
  <c r="E264" i="25" s="1"/>
  <c r="C265" i="25"/>
  <c r="D265" i="25" s="1"/>
  <c r="E265" i="25" s="1"/>
  <c r="C266" i="25"/>
  <c r="C267" i="25"/>
  <c r="D267" i="25" s="1"/>
  <c r="E267" i="25" s="1"/>
  <c r="C268" i="25"/>
  <c r="D268" i="25" s="1"/>
  <c r="E268" i="25" s="1"/>
  <c r="C269" i="25"/>
  <c r="D269" i="25" s="1"/>
  <c r="E269" i="25" s="1"/>
  <c r="C270" i="25"/>
  <c r="D270" i="25" s="1"/>
  <c r="E270" i="25" s="1"/>
  <c r="C271" i="25"/>
  <c r="D271" i="25" s="1"/>
  <c r="E271" i="25" s="1"/>
  <c r="C272" i="25"/>
  <c r="D272" i="25" s="1"/>
  <c r="E272" i="25" s="1"/>
  <c r="C273" i="25"/>
  <c r="C274" i="25"/>
  <c r="C275" i="25"/>
  <c r="D275" i="25" s="1"/>
  <c r="E275" i="25" s="1"/>
  <c r="C276" i="25"/>
  <c r="D276" i="25" s="1"/>
  <c r="E276" i="25" s="1"/>
  <c r="C277" i="25"/>
  <c r="D277" i="25" s="1"/>
  <c r="E277" i="25" s="1"/>
  <c r="C278" i="25"/>
  <c r="D278" i="25" s="1"/>
  <c r="E278" i="25" s="1"/>
  <c r="C279" i="25"/>
  <c r="D279" i="25" s="1"/>
  <c r="E279" i="25" s="1"/>
  <c r="C280" i="25"/>
  <c r="D280" i="25" s="1"/>
  <c r="E280" i="25" s="1"/>
  <c r="C281" i="25"/>
  <c r="D281" i="25" s="1"/>
  <c r="E281" i="25" s="1"/>
  <c r="C282" i="25"/>
  <c r="D282" i="25" s="1"/>
  <c r="E282" i="25" s="1"/>
  <c r="C283" i="25"/>
  <c r="D283" i="25" s="1"/>
  <c r="E283" i="25" s="1"/>
  <c r="C284" i="25"/>
  <c r="D284" i="25" s="1"/>
  <c r="E284" i="25" s="1"/>
  <c r="C285" i="25"/>
  <c r="D285" i="25" s="1"/>
  <c r="E285" i="25" s="1"/>
  <c r="C286" i="25"/>
  <c r="C287" i="25"/>
  <c r="C288" i="25"/>
  <c r="D288" i="25" s="1"/>
  <c r="E288" i="25" s="1"/>
  <c r="C289" i="25"/>
  <c r="D289" i="25" s="1"/>
  <c r="E289" i="25" s="1"/>
  <c r="C290" i="25"/>
  <c r="D290" i="25" s="1"/>
  <c r="E290" i="25" s="1"/>
  <c r="C291" i="25"/>
  <c r="D291" i="25" s="1"/>
  <c r="E291" i="25" s="1"/>
  <c r="C292" i="25"/>
  <c r="D292" i="25" s="1"/>
  <c r="E292" i="25" s="1"/>
  <c r="C293" i="25"/>
  <c r="D293" i="25" s="1"/>
  <c r="E293" i="25" s="1"/>
  <c r="C294" i="25"/>
  <c r="D294" i="25" s="1"/>
  <c r="E294" i="25" s="1"/>
  <c r="C295" i="25"/>
  <c r="D295" i="25" s="1"/>
  <c r="E295" i="25" s="1"/>
  <c r="C296" i="25"/>
  <c r="D296" i="25" s="1"/>
  <c r="E296" i="25" s="1"/>
  <c r="C297" i="25"/>
  <c r="D297" i="25" s="1"/>
  <c r="E297" i="25" s="1"/>
  <c r="C298" i="25"/>
  <c r="D298" i="25" s="1"/>
  <c r="E298" i="25" s="1"/>
  <c r="C299" i="25"/>
  <c r="C300" i="25"/>
  <c r="C301" i="25"/>
  <c r="D301" i="25" s="1"/>
  <c r="E301" i="25" s="1"/>
  <c r="C302" i="25"/>
  <c r="D302" i="25" s="1"/>
  <c r="E302" i="25" s="1"/>
  <c r="C303" i="25"/>
  <c r="D303" i="25" s="1"/>
  <c r="E303" i="25" s="1"/>
  <c r="C304" i="25"/>
  <c r="D304" i="25" s="1"/>
  <c r="E304" i="25" s="1"/>
  <c r="C305" i="25"/>
  <c r="D305" i="25" s="1"/>
  <c r="E305" i="25" s="1"/>
  <c r="C306" i="25"/>
  <c r="D306" i="25" s="1"/>
  <c r="E306" i="25" s="1"/>
  <c r="C307" i="25"/>
  <c r="C308" i="25"/>
  <c r="D308" i="25" s="1"/>
  <c r="E308" i="25" s="1"/>
  <c r="C309" i="25"/>
  <c r="D309" i="25" s="1"/>
  <c r="E309" i="25" s="1"/>
  <c r="C310" i="25"/>
  <c r="D310" i="25" s="1"/>
  <c r="E310" i="25" s="1"/>
  <c r="C311" i="25"/>
  <c r="D311" i="25" s="1"/>
  <c r="E311" i="25" s="1"/>
  <c r="C312" i="25"/>
  <c r="C313" i="25"/>
  <c r="C314" i="25"/>
  <c r="D314" i="25" s="1"/>
  <c r="E314" i="25" s="1"/>
  <c r="C315" i="25"/>
  <c r="D315" i="25" s="1"/>
  <c r="E315" i="25" s="1"/>
  <c r="C316" i="25"/>
  <c r="D316" i="25" s="1"/>
  <c r="E316" i="25" s="1"/>
  <c r="C317" i="25"/>
  <c r="D317" i="25" s="1"/>
  <c r="E317" i="25" s="1"/>
  <c r="C318" i="25"/>
  <c r="D318" i="25" s="1"/>
  <c r="E318" i="25" s="1"/>
  <c r="C319" i="25"/>
  <c r="C320" i="25"/>
  <c r="C321" i="25"/>
  <c r="D321" i="25" s="1"/>
  <c r="E321" i="25" s="1"/>
  <c r="C322" i="25"/>
  <c r="D322" i="25" s="1"/>
  <c r="E322" i="25" s="1"/>
  <c r="C323" i="25"/>
  <c r="D323" i="25" s="1"/>
  <c r="E323" i="25" s="1"/>
  <c r="C324" i="25"/>
  <c r="D324" i="25" s="1"/>
  <c r="E324" i="25" s="1"/>
  <c r="C325" i="25"/>
  <c r="C326" i="25"/>
  <c r="C327" i="25"/>
  <c r="D327" i="25" s="1"/>
  <c r="E327" i="25" s="1"/>
  <c r="C328" i="25"/>
  <c r="D328" i="25" s="1"/>
  <c r="E328" i="25" s="1"/>
  <c r="C329" i="25"/>
  <c r="D329" i="25" s="1"/>
  <c r="E329" i="25" s="1"/>
  <c r="C330" i="25"/>
  <c r="D330" i="25" s="1"/>
  <c r="E330" i="25" s="1"/>
  <c r="C331" i="25"/>
  <c r="D331" i="25" s="1"/>
  <c r="E331" i="25" s="1"/>
  <c r="C332" i="25"/>
  <c r="C333" i="25"/>
  <c r="C334" i="25"/>
  <c r="C335" i="25"/>
  <c r="D335" i="25" s="1"/>
  <c r="E335" i="25" s="1"/>
  <c r="C336" i="25"/>
  <c r="D336" i="25" s="1"/>
  <c r="E336" i="25" s="1"/>
  <c r="C337" i="25"/>
  <c r="D337" i="25" s="1"/>
  <c r="E337" i="25" s="1"/>
  <c r="C2" i="25"/>
  <c r="D2" i="25" s="1"/>
  <c r="E2" i="25" s="1"/>
  <c r="R170" i="2"/>
  <c r="Q170" i="2"/>
  <c r="P170" i="2"/>
  <c r="O170" i="2"/>
  <c r="N170" i="2"/>
  <c r="L62" i="2"/>
  <c r="H62" i="2"/>
  <c r="I62" i="2" s="1"/>
  <c r="L4" i="2"/>
  <c r="H4" i="2"/>
  <c r="I4" i="2" s="1"/>
  <c r="L7" i="2"/>
  <c r="H7" i="2"/>
  <c r="I7" i="2" s="1"/>
  <c r="L59" i="2"/>
  <c r="H59" i="2"/>
  <c r="I59" i="2" s="1"/>
  <c r="L154" i="2"/>
  <c r="H154" i="2"/>
  <c r="I154" i="2" s="1"/>
  <c r="L334" i="2"/>
  <c r="H334" i="2"/>
  <c r="I334" i="2" s="1"/>
  <c r="L330" i="2"/>
  <c r="H330" i="2"/>
  <c r="I330" i="2" s="1"/>
  <c r="L266" i="2"/>
  <c r="H266" i="2"/>
  <c r="I266" i="2" s="1"/>
  <c r="L290" i="2"/>
  <c r="H290" i="2"/>
  <c r="I290" i="2" s="1"/>
  <c r="H267" i="2"/>
  <c r="I267" i="2" s="1"/>
  <c r="L267" i="2"/>
  <c r="L250" i="2"/>
  <c r="H250" i="2"/>
  <c r="I250" i="2" s="1"/>
  <c r="L205" i="2"/>
  <c r="H205" i="2"/>
  <c r="I205" i="2" s="1"/>
  <c r="L319" i="2"/>
  <c r="H319" i="2"/>
  <c r="I319" i="2" s="1"/>
  <c r="L304" i="2"/>
  <c r="H304" i="2"/>
  <c r="I304" i="2" s="1"/>
  <c r="L301" i="2"/>
  <c r="H301" i="2"/>
  <c r="I301" i="2" s="1"/>
  <c r="L295" i="2"/>
  <c r="H295" i="2"/>
  <c r="I295" i="2" s="1"/>
  <c r="L297" i="2"/>
  <c r="H297" i="2"/>
  <c r="I297" i="2" s="1"/>
  <c r="L278" i="2"/>
  <c r="H278" i="2"/>
  <c r="I278" i="2" s="1"/>
  <c r="L276" i="2"/>
  <c r="H276" i="2"/>
  <c r="I276" i="2" s="1"/>
  <c r="L274" i="2"/>
  <c r="H274" i="2"/>
  <c r="I274" i="2" s="1"/>
  <c r="L272" i="2"/>
  <c r="H272" i="2"/>
  <c r="I272" i="2" s="1"/>
  <c r="L264" i="2"/>
  <c r="H264" i="2"/>
  <c r="I264" i="2" s="1"/>
  <c r="L257" i="2"/>
  <c r="H257" i="2"/>
  <c r="I257" i="2" s="1"/>
  <c r="L245" i="2"/>
  <c r="H245" i="2"/>
  <c r="I245" i="2" s="1"/>
  <c r="L238" i="2"/>
  <c r="L236" i="2"/>
  <c r="L229" i="2"/>
  <c r="H229" i="2"/>
  <c r="I229" i="2" s="1"/>
  <c r="L234" i="2"/>
  <c r="L232" i="2"/>
  <c r="H232" i="2"/>
  <c r="I232" i="2" s="1"/>
  <c r="L227" i="2"/>
  <c r="L222" i="2"/>
  <c r="H222" i="2"/>
  <c r="I222" i="2" s="1"/>
  <c r="L220" i="2"/>
  <c r="H220" i="2"/>
  <c r="I220" i="2" s="1"/>
  <c r="L216" i="2"/>
  <c r="H216" i="2"/>
  <c r="I216" i="2" s="1"/>
  <c r="L214" i="2"/>
  <c r="H214" i="2"/>
  <c r="I214" i="2" s="1"/>
  <c r="L212" i="2"/>
  <c r="H212" i="2"/>
  <c r="I212" i="2" s="1"/>
  <c r="L200" i="2"/>
  <c r="L198" i="2"/>
  <c r="H198" i="2"/>
  <c r="I198" i="2" s="1"/>
  <c r="L196" i="2"/>
  <c r="H196" i="2"/>
  <c r="I196" i="2" s="1"/>
  <c r="L184" i="2"/>
  <c r="L186" i="2"/>
  <c r="H186" i="2"/>
  <c r="I186" i="2" s="1"/>
  <c r="L182" i="2"/>
  <c r="H182" i="2"/>
  <c r="I182" i="2" s="1"/>
  <c r="L174" i="2"/>
  <c r="L172" i="2"/>
  <c r="H172" i="2"/>
  <c r="I172" i="2" s="1"/>
  <c r="B90" i="1"/>
  <c r="L312" i="2"/>
  <c r="H312" i="2"/>
  <c r="I312" i="2" s="1"/>
  <c r="L313" i="2"/>
  <c r="L314" i="2"/>
  <c r="H314" i="2"/>
  <c r="I314" i="2" s="1"/>
  <c r="L318" i="2"/>
  <c r="H318" i="2"/>
  <c r="I318" i="2" s="1"/>
  <c r="L298" i="2"/>
  <c r="L271" i="2"/>
  <c r="L273" i="2"/>
  <c r="L275" i="2"/>
  <c r="H275" i="2"/>
  <c r="I275" i="2" s="1"/>
  <c r="L269" i="2"/>
  <c r="H269" i="2"/>
  <c r="I269" i="2" s="1"/>
  <c r="L268" i="2"/>
  <c r="H268" i="2"/>
  <c r="I268" i="2" s="1"/>
  <c r="L258" i="2"/>
  <c r="L261" i="2"/>
  <c r="H261" i="2"/>
  <c r="I261" i="2" s="1"/>
  <c r="L244" i="2"/>
  <c r="H244" i="2"/>
  <c r="I244" i="2" s="1"/>
  <c r="L235" i="2"/>
  <c r="L237" i="2"/>
  <c r="L228" i="2"/>
  <c r="H228" i="2"/>
  <c r="I228" i="2" s="1"/>
  <c r="L213" i="2"/>
  <c r="H213" i="2"/>
  <c r="I213" i="2" s="1"/>
  <c r="L215" i="2"/>
  <c r="L219" i="2"/>
  <c r="H219" i="2"/>
  <c r="I219" i="2" s="1"/>
  <c r="L226" i="2"/>
  <c r="H226" i="2"/>
  <c r="I226" i="2" s="1"/>
  <c r="L206" i="2"/>
  <c r="H206" i="2"/>
  <c r="I206" i="2" s="1"/>
  <c r="L207" i="2"/>
  <c r="H207" i="2"/>
  <c r="I207" i="2" s="1"/>
  <c r="L208" i="2"/>
  <c r="H208" i="2"/>
  <c r="I208" i="2" s="1"/>
  <c r="L192" i="2"/>
  <c r="H192" i="2"/>
  <c r="I192" i="2" s="1"/>
  <c r="L195" i="2"/>
  <c r="L197" i="2"/>
  <c r="L199" i="2"/>
  <c r="L181" i="2"/>
  <c r="H181" i="2"/>
  <c r="I181" i="2" s="1"/>
  <c r="L171" i="2"/>
  <c r="H171" i="2"/>
  <c r="I171" i="2" s="1"/>
  <c r="L173" i="2"/>
  <c r="L178" i="2"/>
  <c r="H178" i="2"/>
  <c r="I178" i="2" s="1"/>
  <c r="L175" i="2"/>
  <c r="H175" i="2"/>
  <c r="I175" i="2" s="1"/>
  <c r="B167" i="1"/>
  <c r="B166" i="1"/>
  <c r="H313" i="2" s="1"/>
  <c r="I313" i="2" s="1"/>
  <c r="B135" i="1"/>
  <c r="B165" i="1"/>
  <c r="B164" i="1"/>
  <c r="B163" i="1"/>
  <c r="H298" i="2" s="1"/>
  <c r="I298" i="2" s="1"/>
  <c r="B162" i="1"/>
  <c r="B161" i="1"/>
  <c r="H273" i="2" s="1"/>
  <c r="I273" i="2" s="1"/>
  <c r="B160" i="1"/>
  <c r="H271" i="2" s="1"/>
  <c r="I271" i="2" s="1"/>
  <c r="B159" i="1"/>
  <c r="B158" i="1"/>
  <c r="B157" i="1"/>
  <c r="B156" i="1"/>
  <c r="B155" i="1"/>
  <c r="H258" i="2" s="1"/>
  <c r="I258" i="2" s="1"/>
  <c r="B154" i="1"/>
  <c r="B153" i="1"/>
  <c r="H237" i="2" s="1"/>
  <c r="I237" i="2" s="1"/>
  <c r="B152" i="1"/>
  <c r="B151" i="1"/>
  <c r="H235" i="2" s="1"/>
  <c r="I235" i="2" s="1"/>
  <c r="B150" i="1"/>
  <c r="B149" i="1"/>
  <c r="H227" i="2" s="1"/>
  <c r="I227" i="2" s="1"/>
  <c r="B148" i="1"/>
  <c r="B147" i="1"/>
  <c r="B146" i="1"/>
  <c r="H215" i="2" s="1"/>
  <c r="I215" i="2" s="1"/>
  <c r="B145" i="1"/>
  <c r="B144" i="1"/>
  <c r="B143" i="1"/>
  <c r="B142" i="1"/>
  <c r="B141" i="1"/>
  <c r="H199" i="2" s="1"/>
  <c r="I199" i="2" s="1"/>
  <c r="B140" i="1"/>
  <c r="H197" i="2" s="1"/>
  <c r="I197" i="2" s="1"/>
  <c r="B139" i="1"/>
  <c r="H195" i="2" s="1"/>
  <c r="I195" i="2" s="1"/>
  <c r="B138" i="1"/>
  <c r="B137" i="1"/>
  <c r="B136" i="1"/>
  <c r="H173" i="2" s="1"/>
  <c r="I173" i="2" s="1"/>
  <c r="B134" i="1"/>
  <c r="B133" i="1"/>
  <c r="B132" i="1"/>
  <c r="H183" i="2" s="1"/>
  <c r="I183" i="2" s="1"/>
  <c r="L183" i="2"/>
  <c r="L110" i="2"/>
  <c r="H110" i="2"/>
  <c r="I110" i="2" s="1"/>
  <c r="L294" i="2"/>
  <c r="H294" i="2"/>
  <c r="I294" i="2" s="1"/>
  <c r="L296" i="2"/>
  <c r="H296" i="2"/>
  <c r="I296" i="2" s="1"/>
  <c r="B130" i="1"/>
  <c r="L277" i="2"/>
  <c r="B129" i="1"/>
  <c r="H277" i="2" s="1"/>
  <c r="I277" i="2" s="1"/>
  <c r="L288" i="2"/>
  <c r="H288" i="2"/>
  <c r="I288" i="2" s="1"/>
  <c r="B128" i="1"/>
  <c r="L252" i="2"/>
  <c r="L233" i="2"/>
  <c r="B127" i="1"/>
  <c r="H233" i="2" s="1"/>
  <c r="I233" i="2" s="1"/>
  <c r="L315" i="2"/>
  <c r="B126" i="1"/>
  <c r="H315" i="2" s="1"/>
  <c r="B124" i="1"/>
  <c r="B40" i="6"/>
  <c r="L309" i="2"/>
  <c r="H309" i="2"/>
  <c r="I309" i="2" s="1"/>
  <c r="L163" i="2"/>
  <c r="B121" i="1"/>
  <c r="L281" i="2"/>
  <c r="B120" i="1"/>
  <c r="H281" i="2" s="1"/>
  <c r="I281" i="2" s="1"/>
  <c r="L209" i="2"/>
  <c r="B119" i="1"/>
  <c r="H209" i="2" s="1"/>
  <c r="I209" i="2" s="1"/>
  <c r="L287" i="2"/>
  <c r="B118" i="1"/>
  <c r="H287" i="2" s="1"/>
  <c r="I287" i="2" s="1"/>
  <c r="L285" i="2"/>
  <c r="B117" i="1"/>
  <c r="H285" i="2" s="1"/>
  <c r="B87" i="1"/>
  <c r="B115" i="1"/>
  <c r="E44" i="6"/>
  <c r="B44" i="6"/>
  <c r="E42" i="6"/>
  <c r="H329" i="2"/>
  <c r="I329" i="2" s="1"/>
  <c r="B42" i="6"/>
  <c r="H397" i="2"/>
  <c r="I397" i="2" s="1"/>
  <c r="H396" i="2"/>
  <c r="H395" i="2"/>
  <c r="H394" i="2"/>
  <c r="I394" i="2" s="1"/>
  <c r="H393" i="2"/>
  <c r="I393" i="2" s="1"/>
  <c r="H392" i="2"/>
  <c r="H391" i="2"/>
  <c r="H390" i="2"/>
  <c r="I390" i="2" s="1"/>
  <c r="H389" i="2"/>
  <c r="I389" i="2" s="1"/>
  <c r="H388" i="2"/>
  <c r="H387" i="2"/>
  <c r="H386" i="2"/>
  <c r="I386" i="2" s="1"/>
  <c r="H385" i="2"/>
  <c r="I385" i="2" s="1"/>
  <c r="H384" i="2"/>
  <c r="B114" i="1"/>
  <c r="H399" i="2" s="1"/>
  <c r="H379" i="2"/>
  <c r="I379" i="2" s="1"/>
  <c r="H378" i="2"/>
  <c r="I378" i="2" s="1"/>
  <c r="H377" i="2"/>
  <c r="H376" i="2"/>
  <c r="H375" i="2"/>
  <c r="I375" i="2" s="1"/>
  <c r="H374" i="2"/>
  <c r="I374" i="2" s="1"/>
  <c r="H373" i="2"/>
  <c r="H372" i="2"/>
  <c r="H371" i="2"/>
  <c r="I371" i="2" s="1"/>
  <c r="H370" i="2"/>
  <c r="I370" i="2" s="1"/>
  <c r="H369" i="2"/>
  <c r="H368" i="2"/>
  <c r="H367" i="2"/>
  <c r="I367" i="2" s="1"/>
  <c r="H366" i="2"/>
  <c r="I366" i="2" s="1"/>
  <c r="B89" i="1"/>
  <c r="H380" i="2" s="1"/>
  <c r="C12" i="24"/>
  <c r="C13" i="24"/>
  <c r="C15" i="24"/>
  <c r="C16" i="24"/>
  <c r="C18" i="24"/>
  <c r="C20" i="24"/>
  <c r="C22" i="24"/>
  <c r="C24" i="24"/>
  <c r="C25" i="24"/>
  <c r="C30" i="24"/>
  <c r="C31" i="24"/>
  <c r="C36" i="24"/>
  <c r="C38" i="24"/>
  <c r="C39" i="24"/>
  <c r="C43" i="24"/>
  <c r="C44" i="24"/>
  <c r="C46" i="24"/>
  <c r="C47" i="24"/>
  <c r="C50" i="24"/>
  <c r="C51" i="24"/>
  <c r="C60" i="24"/>
  <c r="C61" i="24"/>
  <c r="C62" i="24"/>
  <c r="C64" i="24"/>
  <c r="C69" i="24"/>
  <c r="C70" i="24"/>
  <c r="C72" i="24"/>
  <c r="C73" i="24"/>
  <c r="C76" i="24"/>
  <c r="C77" i="24"/>
  <c r="C78" i="24"/>
  <c r="C79" i="24"/>
  <c r="C86" i="24"/>
  <c r="C87" i="24"/>
  <c r="C91" i="24"/>
  <c r="C92" i="24"/>
  <c r="C94" i="24"/>
  <c r="C95" i="24"/>
  <c r="C97" i="24"/>
  <c r="C101" i="24"/>
  <c r="C102" i="24"/>
  <c r="C103" i="24"/>
  <c r="C106" i="24"/>
  <c r="C107" i="24"/>
  <c r="C110" i="24"/>
  <c r="C111" i="24"/>
  <c r="C114" i="24"/>
  <c r="C115" i="24"/>
  <c r="C133" i="24"/>
  <c r="C134" i="24"/>
  <c r="C138" i="24"/>
  <c r="C140" i="24"/>
  <c r="C142" i="24"/>
  <c r="C146" i="24"/>
  <c r="C149" i="24"/>
  <c r="C151" i="24"/>
  <c r="C156" i="24"/>
  <c r="C158" i="24"/>
  <c r="C160" i="24"/>
  <c r="C162" i="24"/>
  <c r="C163" i="24"/>
  <c r="C169" i="24"/>
  <c r="C170" i="24"/>
  <c r="C180" i="24"/>
  <c r="C182" i="24"/>
  <c r="C184" i="24"/>
  <c r="C209" i="24"/>
  <c r="C212" i="24"/>
  <c r="C215" i="24"/>
  <c r="H215" i="24" s="1"/>
  <c r="I215" i="24" s="1"/>
  <c r="C216" i="24"/>
  <c r="H216" i="24" s="1"/>
  <c r="I216" i="24" s="1"/>
  <c r="C219" i="24"/>
  <c r="C221" i="24"/>
  <c r="C222" i="24"/>
  <c r="C224" i="24"/>
  <c r="C225" i="24"/>
  <c r="C226" i="24"/>
  <c r="C228" i="24"/>
  <c r="H228" i="24" s="1"/>
  <c r="I228" i="24" s="1"/>
  <c r="C229" i="24"/>
  <c r="H229" i="24" s="1"/>
  <c r="I229" i="24" s="1"/>
  <c r="E37" i="6"/>
  <c r="E41" i="6"/>
  <c r="B41" i="6"/>
  <c r="H286" i="2"/>
  <c r="I286" i="2" s="1"/>
  <c r="R346" i="2"/>
  <c r="Q346" i="2"/>
  <c r="P346" i="2"/>
  <c r="N346" i="2"/>
  <c r="O346" i="2"/>
  <c r="C326" i="24"/>
  <c r="C342" i="24"/>
  <c r="H84" i="2"/>
  <c r="H306" i="2"/>
  <c r="H282" i="2"/>
  <c r="H231" i="2"/>
  <c r="H89" i="2"/>
  <c r="H114" i="2"/>
  <c r="H158" i="2"/>
  <c r="M158" i="2" s="1"/>
  <c r="H39" i="2"/>
  <c r="H253" i="2"/>
  <c r="H291" i="2"/>
  <c r="H162" i="2"/>
  <c r="H141" i="2"/>
  <c r="H99" i="2"/>
  <c r="H248" i="2"/>
  <c r="H239" i="2"/>
  <c r="I239" i="2" s="1"/>
  <c r="H287" i="24"/>
  <c r="H288" i="24"/>
  <c r="H302" i="24"/>
  <c r="I302" i="24" s="1"/>
  <c r="H319" i="24"/>
  <c r="I319" i="24" s="1"/>
  <c r="H320" i="24"/>
  <c r="I320" i="24" s="1"/>
  <c r="H359" i="24"/>
  <c r="I359" i="24" s="1"/>
  <c r="C349" i="24"/>
  <c r="C348" i="24"/>
  <c r="C341" i="24"/>
  <c r="C338" i="24"/>
  <c r="C336" i="24"/>
  <c r="C335" i="24"/>
  <c r="C333" i="24"/>
  <c r="C332" i="24"/>
  <c r="C330" i="24"/>
  <c r="C327" i="24"/>
  <c r="C312" i="24"/>
  <c r="C311" i="24"/>
  <c r="C305" i="24"/>
  <c r="C299" i="24"/>
  <c r="C298" i="24"/>
  <c r="C290" i="24"/>
  <c r="H290" i="24" s="1"/>
  <c r="I290" i="24" s="1"/>
  <c r="C286" i="24"/>
  <c r="C284" i="24"/>
  <c r="C261" i="24"/>
  <c r="H261" i="24" s="1"/>
  <c r="I261" i="24" s="1"/>
  <c r="C260" i="24"/>
  <c r="C258" i="24"/>
  <c r="C255" i="24"/>
  <c r="C249" i="24"/>
  <c r="C355" i="24"/>
  <c r="C364" i="24"/>
  <c r="H177" i="24"/>
  <c r="I177" i="24" s="1"/>
  <c r="H185" i="24"/>
  <c r="I185" i="24" s="1"/>
  <c r="H186" i="24"/>
  <c r="I186" i="24" s="1"/>
  <c r="H187" i="24"/>
  <c r="I187" i="24" s="1"/>
  <c r="H188" i="24"/>
  <c r="I188" i="24" s="1"/>
  <c r="H192" i="24"/>
  <c r="I192" i="24" s="1"/>
  <c r="H210" i="24"/>
  <c r="H262" i="2"/>
  <c r="I262" i="2" s="1"/>
  <c r="H344" i="2"/>
  <c r="I344" i="2" s="1"/>
  <c r="H249" i="2"/>
  <c r="H204" i="2"/>
  <c r="E34" i="6"/>
  <c r="B37" i="6"/>
  <c r="H359" i="2"/>
  <c r="H357" i="2"/>
  <c r="M4" i="2" l="1"/>
  <c r="M62" i="2"/>
  <c r="R4" i="2"/>
  <c r="W4" i="2" s="1"/>
  <c r="Q4" i="2"/>
  <c r="V4" i="2" s="1"/>
  <c r="P4" i="2"/>
  <c r="U4" i="2" s="1"/>
  <c r="O4" i="2"/>
  <c r="T4" i="2" s="1"/>
  <c r="N4" i="2"/>
  <c r="S4" i="2" s="1"/>
  <c r="M7" i="2"/>
  <c r="N7" i="2" s="1"/>
  <c r="S7" i="2" s="1"/>
  <c r="H200" i="2"/>
  <c r="I200" i="2" s="1"/>
  <c r="H174" i="2"/>
  <c r="I174" i="2" s="1"/>
  <c r="H236" i="2"/>
  <c r="I236" i="2" s="1"/>
  <c r="H238" i="2"/>
  <c r="I238" i="2" s="1"/>
  <c r="H234" i="2"/>
  <c r="I234" i="2" s="1"/>
  <c r="H184" i="2"/>
  <c r="I184" i="2" s="1"/>
  <c r="M59" i="2"/>
  <c r="R59" i="2" s="1"/>
  <c r="W59" i="2" s="1"/>
  <c r="M334" i="2"/>
  <c r="R334" i="2" s="1"/>
  <c r="W334" i="2" s="1"/>
  <c r="M154" i="2"/>
  <c r="M330" i="2"/>
  <c r="O330" i="2" s="1"/>
  <c r="T330" i="2" s="1"/>
  <c r="M266" i="2"/>
  <c r="O266" i="2" s="1"/>
  <c r="T266" i="2" s="1"/>
  <c r="M290" i="2"/>
  <c r="R290" i="2" s="1"/>
  <c r="W290" i="2" s="1"/>
  <c r="M250" i="2"/>
  <c r="R250" i="2" s="1"/>
  <c r="W250" i="2" s="1"/>
  <c r="M267" i="2"/>
  <c r="M205" i="2"/>
  <c r="N205" i="2" s="1"/>
  <c r="S205" i="2" s="1"/>
  <c r="M319" i="2"/>
  <c r="P319" i="2" s="1"/>
  <c r="U319" i="2" s="1"/>
  <c r="M304" i="2"/>
  <c r="O304" i="2" s="1"/>
  <c r="T304" i="2" s="1"/>
  <c r="M301" i="2"/>
  <c r="M295" i="2"/>
  <c r="O295" i="2" s="1"/>
  <c r="T295" i="2" s="1"/>
  <c r="M297" i="2"/>
  <c r="R297" i="2" s="1"/>
  <c r="W297" i="2" s="1"/>
  <c r="M278" i="2"/>
  <c r="P278" i="2" s="1"/>
  <c r="U278" i="2" s="1"/>
  <c r="M274" i="2"/>
  <c r="O274" i="2" s="1"/>
  <c r="T274" i="2" s="1"/>
  <c r="M276" i="2"/>
  <c r="R276" i="2" s="1"/>
  <c r="W276" i="2" s="1"/>
  <c r="M272" i="2"/>
  <c r="Q272" i="2" s="1"/>
  <c r="V272" i="2" s="1"/>
  <c r="M264" i="2"/>
  <c r="R264" i="2" s="1"/>
  <c r="W264" i="2" s="1"/>
  <c r="M257" i="2"/>
  <c r="R257" i="2" s="1"/>
  <c r="W257" i="2" s="1"/>
  <c r="M245" i="2"/>
  <c r="N245" i="2" s="1"/>
  <c r="S245" i="2" s="1"/>
  <c r="M229" i="2"/>
  <c r="P229" i="2" s="1"/>
  <c r="U229" i="2" s="1"/>
  <c r="M232" i="2"/>
  <c r="R232" i="2" s="1"/>
  <c r="W232" i="2" s="1"/>
  <c r="M227" i="2"/>
  <c r="R227" i="2" s="1"/>
  <c r="W227" i="2" s="1"/>
  <c r="M222" i="2"/>
  <c r="O222" i="2" s="1"/>
  <c r="T222" i="2" s="1"/>
  <c r="M220" i="2"/>
  <c r="R220" i="2" s="1"/>
  <c r="W220" i="2" s="1"/>
  <c r="M216" i="2"/>
  <c r="R216" i="2" s="1"/>
  <c r="W216" i="2" s="1"/>
  <c r="M212" i="2"/>
  <c r="N212" i="2" s="1"/>
  <c r="S212" i="2" s="1"/>
  <c r="M214" i="2"/>
  <c r="M198" i="2"/>
  <c r="N198" i="2" s="1"/>
  <c r="S198" i="2" s="1"/>
  <c r="M196" i="2"/>
  <c r="N196" i="2" s="1"/>
  <c r="S196" i="2" s="1"/>
  <c r="M186" i="2"/>
  <c r="M182" i="2"/>
  <c r="M172" i="2"/>
  <c r="M312" i="2"/>
  <c r="M313" i="2"/>
  <c r="M314" i="2"/>
  <c r="M318" i="2"/>
  <c r="M298" i="2"/>
  <c r="M271" i="2"/>
  <c r="M273" i="2"/>
  <c r="M275" i="2"/>
  <c r="M269" i="2"/>
  <c r="M268" i="2"/>
  <c r="M258" i="2"/>
  <c r="M261" i="2"/>
  <c r="M244" i="2"/>
  <c r="M237" i="2"/>
  <c r="M235" i="2"/>
  <c r="M228" i="2"/>
  <c r="M213" i="2"/>
  <c r="M219" i="2"/>
  <c r="M215" i="2"/>
  <c r="M226" i="2"/>
  <c r="M206" i="2"/>
  <c r="M207" i="2"/>
  <c r="M208" i="2"/>
  <c r="M192" i="2"/>
  <c r="M197" i="2"/>
  <c r="M195" i="2"/>
  <c r="M199" i="2"/>
  <c r="M181" i="2"/>
  <c r="M171" i="2"/>
  <c r="M173" i="2"/>
  <c r="M178" i="2"/>
  <c r="M175" i="2"/>
  <c r="H252" i="2"/>
  <c r="I252" i="2" s="1"/>
  <c r="M183" i="2"/>
  <c r="M110" i="2"/>
  <c r="O110" i="2" s="1"/>
  <c r="T110" i="2" s="1"/>
  <c r="M294" i="2"/>
  <c r="M296" i="2"/>
  <c r="M277" i="2"/>
  <c r="M288" i="2"/>
  <c r="M315" i="2"/>
  <c r="M233" i="2"/>
  <c r="I315" i="2"/>
  <c r="H163" i="2"/>
  <c r="I163" i="2" s="1"/>
  <c r="M309" i="2"/>
  <c r="M285" i="2"/>
  <c r="M281" i="2"/>
  <c r="M209" i="2"/>
  <c r="M287" i="2"/>
  <c r="I285" i="2"/>
  <c r="H363" i="2"/>
  <c r="I363" i="2" s="1"/>
  <c r="H381" i="2"/>
  <c r="I381" i="2" s="1"/>
  <c r="H398" i="2"/>
  <c r="I398" i="2" s="1"/>
  <c r="I384" i="2"/>
  <c r="I388" i="2"/>
  <c r="I392" i="2"/>
  <c r="I396" i="2"/>
  <c r="I387" i="2"/>
  <c r="I391" i="2"/>
  <c r="I395" i="2"/>
  <c r="I399" i="2"/>
  <c r="I372" i="2"/>
  <c r="I368" i="2"/>
  <c r="I380" i="2"/>
  <c r="I376" i="2"/>
  <c r="I369" i="2"/>
  <c r="I373" i="2"/>
  <c r="I377" i="2"/>
  <c r="R158" i="2"/>
  <c r="W158" i="2" s="1"/>
  <c r="P158" i="2"/>
  <c r="U158" i="2" s="1"/>
  <c r="Q158" i="2"/>
  <c r="V158" i="2" s="1"/>
  <c r="N158" i="2"/>
  <c r="S158" i="2" s="1"/>
  <c r="O158" i="2"/>
  <c r="T158" i="2" s="1"/>
  <c r="H40" i="2"/>
  <c r="I40" i="2" s="1"/>
  <c r="H241" i="2"/>
  <c r="I162" i="2"/>
  <c r="I158" i="2"/>
  <c r="I141" i="2"/>
  <c r="I99" i="2"/>
  <c r="I84" i="2"/>
  <c r="I306" i="2"/>
  <c r="I114" i="2"/>
  <c r="I89" i="2"/>
  <c r="I282" i="2"/>
  <c r="I248" i="2"/>
  <c r="I231" i="2"/>
  <c r="I39" i="2"/>
  <c r="I253" i="2"/>
  <c r="I291" i="2"/>
  <c r="I249" i="2"/>
  <c r="I204" i="2"/>
  <c r="I359" i="2"/>
  <c r="I357" i="2"/>
  <c r="E36" i="6"/>
  <c r="M236" i="2" l="1"/>
  <c r="M200" i="2"/>
  <c r="P200" i="2" s="1"/>
  <c r="U200" i="2" s="1"/>
  <c r="M238" i="2"/>
  <c r="P238" i="2" s="1"/>
  <c r="U238" i="2" s="1"/>
  <c r="R62" i="2"/>
  <c r="W62" i="2" s="1"/>
  <c r="Q62" i="2"/>
  <c r="V62" i="2" s="1"/>
  <c r="P62" i="2"/>
  <c r="U62" i="2" s="1"/>
  <c r="O62" i="2"/>
  <c r="T62" i="2" s="1"/>
  <c r="N62" i="2"/>
  <c r="S62" i="2" s="1"/>
  <c r="M174" i="2"/>
  <c r="N174" i="2" s="1"/>
  <c r="S174" i="2" s="1"/>
  <c r="M234" i="2"/>
  <c r="R234" i="2" s="1"/>
  <c r="W234" i="2" s="1"/>
  <c r="Q7" i="2"/>
  <c r="V7" i="2" s="1"/>
  <c r="O7" i="2"/>
  <c r="T7" i="2" s="1"/>
  <c r="R7" i="2"/>
  <c r="W7" i="2" s="1"/>
  <c r="P7" i="2"/>
  <c r="U7" i="2" s="1"/>
  <c r="N334" i="2"/>
  <c r="S334" i="2" s="1"/>
  <c r="M184" i="2"/>
  <c r="P184" i="2" s="1"/>
  <c r="U184" i="2" s="1"/>
  <c r="N59" i="2"/>
  <c r="S59" i="2" s="1"/>
  <c r="O59" i="2"/>
  <c r="T59" i="2" s="1"/>
  <c r="R330" i="2"/>
  <c r="W330" i="2" s="1"/>
  <c r="P59" i="2"/>
  <c r="U59" i="2" s="1"/>
  <c r="Q59" i="2"/>
  <c r="V59" i="2" s="1"/>
  <c r="Q330" i="2"/>
  <c r="V330" i="2" s="1"/>
  <c r="P330" i="2"/>
  <c r="U330" i="2" s="1"/>
  <c r="N330" i="2"/>
  <c r="S330" i="2" s="1"/>
  <c r="O334" i="2"/>
  <c r="T334" i="2" s="1"/>
  <c r="P334" i="2"/>
  <c r="U334" i="2" s="1"/>
  <c r="Q334" i="2"/>
  <c r="V334" i="2" s="1"/>
  <c r="R154" i="2"/>
  <c r="W154" i="2" s="1"/>
  <c r="Q154" i="2"/>
  <c r="V154" i="2" s="1"/>
  <c r="P154" i="2"/>
  <c r="U154" i="2" s="1"/>
  <c r="O154" i="2"/>
  <c r="T154" i="2" s="1"/>
  <c r="N154" i="2"/>
  <c r="S154" i="2" s="1"/>
  <c r="P266" i="2"/>
  <c r="U266" i="2" s="1"/>
  <c r="Q266" i="2"/>
  <c r="V266" i="2" s="1"/>
  <c r="N266" i="2"/>
  <c r="S266" i="2" s="1"/>
  <c r="P295" i="2"/>
  <c r="U295" i="2" s="1"/>
  <c r="R266" i="2"/>
  <c r="W266" i="2" s="1"/>
  <c r="Q295" i="2"/>
  <c r="V295" i="2" s="1"/>
  <c r="R295" i="2"/>
  <c r="W295" i="2" s="1"/>
  <c r="N290" i="2"/>
  <c r="S290" i="2" s="1"/>
  <c r="O290" i="2"/>
  <c r="T290" i="2" s="1"/>
  <c r="P290" i="2"/>
  <c r="U290" i="2" s="1"/>
  <c r="Q290" i="2"/>
  <c r="V290" i="2" s="1"/>
  <c r="P250" i="2"/>
  <c r="U250" i="2" s="1"/>
  <c r="Q250" i="2"/>
  <c r="V250" i="2" s="1"/>
  <c r="O250" i="2"/>
  <c r="T250" i="2" s="1"/>
  <c r="N250" i="2"/>
  <c r="S250" i="2" s="1"/>
  <c r="O205" i="2"/>
  <c r="T205" i="2" s="1"/>
  <c r="P205" i="2"/>
  <c r="U205" i="2" s="1"/>
  <c r="Q205" i="2"/>
  <c r="V205" i="2" s="1"/>
  <c r="R205" i="2"/>
  <c r="W205" i="2" s="1"/>
  <c r="N267" i="2"/>
  <c r="S267" i="2" s="1"/>
  <c r="O267" i="2"/>
  <c r="T267" i="2" s="1"/>
  <c r="P267" i="2"/>
  <c r="U267" i="2" s="1"/>
  <c r="Q267" i="2"/>
  <c r="V267" i="2" s="1"/>
  <c r="R267" i="2"/>
  <c r="W267" i="2" s="1"/>
  <c r="N319" i="2"/>
  <c r="S319" i="2" s="1"/>
  <c r="Q319" i="2"/>
  <c r="V319" i="2" s="1"/>
  <c r="O319" i="2"/>
  <c r="T319" i="2" s="1"/>
  <c r="R319" i="2"/>
  <c r="W319" i="2" s="1"/>
  <c r="N295" i="2"/>
  <c r="S295" i="2" s="1"/>
  <c r="P304" i="2"/>
  <c r="U304" i="2" s="1"/>
  <c r="O297" i="2"/>
  <c r="T297" i="2" s="1"/>
  <c r="R304" i="2"/>
  <c r="W304" i="2" s="1"/>
  <c r="Q304" i="2"/>
  <c r="V304" i="2" s="1"/>
  <c r="N297" i="2"/>
  <c r="S297" i="2" s="1"/>
  <c r="N304" i="2"/>
  <c r="S304" i="2" s="1"/>
  <c r="P297" i="2"/>
  <c r="U297" i="2" s="1"/>
  <c r="O276" i="2"/>
  <c r="T276" i="2" s="1"/>
  <c r="P276" i="2"/>
  <c r="U276" i="2" s="1"/>
  <c r="N276" i="2"/>
  <c r="S276" i="2" s="1"/>
  <c r="Q276" i="2"/>
  <c r="V276" i="2" s="1"/>
  <c r="N229" i="2"/>
  <c r="S229" i="2" s="1"/>
  <c r="Q297" i="2"/>
  <c r="V297" i="2" s="1"/>
  <c r="R301" i="2"/>
  <c r="W301" i="2" s="1"/>
  <c r="Q301" i="2"/>
  <c r="V301" i="2" s="1"/>
  <c r="P301" i="2"/>
  <c r="U301" i="2" s="1"/>
  <c r="O301" i="2"/>
  <c r="T301" i="2" s="1"/>
  <c r="N301" i="2"/>
  <c r="S301" i="2" s="1"/>
  <c r="Q278" i="2"/>
  <c r="V278" i="2" s="1"/>
  <c r="R278" i="2"/>
  <c r="W278" i="2" s="1"/>
  <c r="N278" i="2"/>
  <c r="S278" i="2" s="1"/>
  <c r="O278" i="2"/>
  <c r="T278" i="2" s="1"/>
  <c r="R272" i="2"/>
  <c r="W272" i="2" s="1"/>
  <c r="P274" i="2"/>
  <c r="U274" i="2" s="1"/>
  <c r="N274" i="2"/>
  <c r="S274" i="2" s="1"/>
  <c r="R274" i="2"/>
  <c r="W274" i="2" s="1"/>
  <c r="O229" i="2"/>
  <c r="T229" i="2" s="1"/>
  <c r="Q274" i="2"/>
  <c r="V274" i="2" s="1"/>
  <c r="N272" i="2"/>
  <c r="S272" i="2" s="1"/>
  <c r="O272" i="2"/>
  <c r="T272" i="2" s="1"/>
  <c r="P272" i="2"/>
  <c r="U272" i="2" s="1"/>
  <c r="O264" i="2"/>
  <c r="T264" i="2" s="1"/>
  <c r="N264" i="2"/>
  <c r="S264" i="2" s="1"/>
  <c r="P264" i="2"/>
  <c r="U264" i="2" s="1"/>
  <c r="Q229" i="2"/>
  <c r="V229" i="2" s="1"/>
  <c r="Q264" i="2"/>
  <c r="V264" i="2" s="1"/>
  <c r="R229" i="2"/>
  <c r="W229" i="2" s="1"/>
  <c r="O227" i="2"/>
  <c r="T227" i="2" s="1"/>
  <c r="N257" i="2"/>
  <c r="S257" i="2" s="1"/>
  <c r="O257" i="2"/>
  <c r="T257" i="2" s="1"/>
  <c r="P257" i="2"/>
  <c r="U257" i="2" s="1"/>
  <c r="Q257" i="2"/>
  <c r="V257" i="2" s="1"/>
  <c r="Q196" i="2"/>
  <c r="V196" i="2" s="1"/>
  <c r="O245" i="2"/>
  <c r="T245" i="2" s="1"/>
  <c r="P245" i="2"/>
  <c r="U245" i="2" s="1"/>
  <c r="R245" i="2"/>
  <c r="W245" i="2" s="1"/>
  <c r="Q245" i="2"/>
  <c r="V245" i="2" s="1"/>
  <c r="O238" i="2"/>
  <c r="T238" i="2" s="1"/>
  <c r="Q238" i="2"/>
  <c r="V238" i="2" s="1"/>
  <c r="R238" i="2"/>
  <c r="W238" i="2" s="1"/>
  <c r="R236" i="2"/>
  <c r="W236" i="2" s="1"/>
  <c r="Q236" i="2"/>
  <c r="V236" i="2" s="1"/>
  <c r="P236" i="2"/>
  <c r="U236" i="2" s="1"/>
  <c r="O236" i="2"/>
  <c r="T236" i="2" s="1"/>
  <c r="N236" i="2"/>
  <c r="S236" i="2" s="1"/>
  <c r="O196" i="2"/>
  <c r="T196" i="2" s="1"/>
  <c r="N232" i="2"/>
  <c r="S232" i="2" s="1"/>
  <c r="O232" i="2"/>
  <c r="T232" i="2" s="1"/>
  <c r="Q198" i="2"/>
  <c r="V198" i="2" s="1"/>
  <c r="P232" i="2"/>
  <c r="U232" i="2" s="1"/>
  <c r="Q232" i="2"/>
  <c r="V232" i="2" s="1"/>
  <c r="R196" i="2"/>
  <c r="W196" i="2" s="1"/>
  <c r="N227" i="2"/>
  <c r="S227" i="2" s="1"/>
  <c r="P227" i="2"/>
  <c r="U227" i="2" s="1"/>
  <c r="Q227" i="2"/>
  <c r="V227" i="2" s="1"/>
  <c r="P222" i="2"/>
  <c r="U222" i="2" s="1"/>
  <c r="Q222" i="2"/>
  <c r="V222" i="2" s="1"/>
  <c r="N222" i="2"/>
  <c r="S222" i="2" s="1"/>
  <c r="R222" i="2"/>
  <c r="W222" i="2" s="1"/>
  <c r="P198" i="2"/>
  <c r="U198" i="2" s="1"/>
  <c r="N220" i="2"/>
  <c r="S220" i="2" s="1"/>
  <c r="O220" i="2"/>
  <c r="T220" i="2" s="1"/>
  <c r="P220" i="2"/>
  <c r="U220" i="2" s="1"/>
  <c r="Q220" i="2"/>
  <c r="V220" i="2" s="1"/>
  <c r="O198" i="2"/>
  <c r="T198" i="2" s="1"/>
  <c r="N216" i="2"/>
  <c r="S216" i="2" s="1"/>
  <c r="P216" i="2"/>
  <c r="U216" i="2" s="1"/>
  <c r="Q216" i="2"/>
  <c r="V216" i="2" s="1"/>
  <c r="O216" i="2"/>
  <c r="T216" i="2" s="1"/>
  <c r="P212" i="2"/>
  <c r="U212" i="2" s="1"/>
  <c r="Q212" i="2"/>
  <c r="V212" i="2" s="1"/>
  <c r="R212" i="2"/>
  <c r="W212" i="2" s="1"/>
  <c r="R198" i="2"/>
  <c r="W198" i="2" s="1"/>
  <c r="O212" i="2"/>
  <c r="T212" i="2" s="1"/>
  <c r="R214" i="2"/>
  <c r="W214" i="2" s="1"/>
  <c r="Q214" i="2"/>
  <c r="V214" i="2" s="1"/>
  <c r="P214" i="2"/>
  <c r="U214" i="2" s="1"/>
  <c r="O214" i="2"/>
  <c r="T214" i="2" s="1"/>
  <c r="N214" i="2"/>
  <c r="S214" i="2" s="1"/>
  <c r="P196" i="2"/>
  <c r="U196" i="2" s="1"/>
  <c r="R200" i="2"/>
  <c r="W200" i="2" s="1"/>
  <c r="Q200" i="2"/>
  <c r="V200" i="2" s="1"/>
  <c r="N200" i="2"/>
  <c r="S200" i="2" s="1"/>
  <c r="R171" i="2"/>
  <c r="W171" i="2" s="1"/>
  <c r="O171" i="2"/>
  <c r="T171" i="2" s="1"/>
  <c r="Q171" i="2"/>
  <c r="V171" i="2" s="1"/>
  <c r="P171" i="2"/>
  <c r="U171" i="2" s="1"/>
  <c r="N171" i="2"/>
  <c r="S171" i="2" s="1"/>
  <c r="P271" i="2"/>
  <c r="U271" i="2" s="1"/>
  <c r="N271" i="2"/>
  <c r="S271" i="2" s="1"/>
  <c r="O271" i="2"/>
  <c r="T271" i="2" s="1"/>
  <c r="Q271" i="2"/>
  <c r="V271" i="2" s="1"/>
  <c r="R271" i="2"/>
  <c r="W271" i="2" s="1"/>
  <c r="R207" i="2"/>
  <c r="W207" i="2" s="1"/>
  <c r="N207" i="2"/>
  <c r="S207" i="2" s="1"/>
  <c r="O207" i="2"/>
  <c r="T207" i="2" s="1"/>
  <c r="P207" i="2"/>
  <c r="U207" i="2" s="1"/>
  <c r="Q207" i="2"/>
  <c r="V207" i="2" s="1"/>
  <c r="N285" i="2"/>
  <c r="S285" i="2" s="1"/>
  <c r="Q285" i="2"/>
  <c r="V285" i="2" s="1"/>
  <c r="R285" i="2"/>
  <c r="W285" i="2" s="1"/>
  <c r="P285" i="2"/>
  <c r="U285" i="2" s="1"/>
  <c r="O285" i="2"/>
  <c r="T285" i="2" s="1"/>
  <c r="N226" i="2"/>
  <c r="S226" i="2" s="1"/>
  <c r="O226" i="2"/>
  <c r="T226" i="2" s="1"/>
  <c r="P226" i="2"/>
  <c r="U226" i="2" s="1"/>
  <c r="Q226" i="2"/>
  <c r="V226" i="2" s="1"/>
  <c r="R226" i="2"/>
  <c r="W226" i="2" s="1"/>
  <c r="R178" i="2"/>
  <c r="W178" i="2" s="1"/>
  <c r="N178" i="2"/>
  <c r="S178" i="2" s="1"/>
  <c r="Q178" i="2"/>
  <c r="V178" i="2" s="1"/>
  <c r="O178" i="2"/>
  <c r="T178" i="2" s="1"/>
  <c r="P178" i="2"/>
  <c r="U178" i="2" s="1"/>
  <c r="P273" i="2"/>
  <c r="U273" i="2" s="1"/>
  <c r="Q273" i="2"/>
  <c r="V273" i="2" s="1"/>
  <c r="R273" i="2"/>
  <c r="W273" i="2" s="1"/>
  <c r="O273" i="2"/>
  <c r="T273" i="2" s="1"/>
  <c r="N273" i="2"/>
  <c r="S273" i="2" s="1"/>
  <c r="O181" i="2"/>
  <c r="T181" i="2" s="1"/>
  <c r="P181" i="2"/>
  <c r="U181" i="2" s="1"/>
  <c r="Q181" i="2"/>
  <c r="V181" i="2" s="1"/>
  <c r="R181" i="2"/>
  <c r="W181" i="2" s="1"/>
  <c r="N181" i="2"/>
  <c r="S181" i="2" s="1"/>
  <c r="N184" i="2"/>
  <c r="S184" i="2" s="1"/>
  <c r="O184" i="2"/>
  <c r="T184" i="2" s="1"/>
  <c r="Q281" i="2"/>
  <c r="V281" i="2" s="1"/>
  <c r="R281" i="2"/>
  <c r="W281" i="2" s="1"/>
  <c r="N281" i="2"/>
  <c r="S281" i="2" s="1"/>
  <c r="O281" i="2"/>
  <c r="T281" i="2" s="1"/>
  <c r="P281" i="2"/>
  <c r="U281" i="2" s="1"/>
  <c r="O312" i="2"/>
  <c r="T312" i="2" s="1"/>
  <c r="P312" i="2"/>
  <c r="U312" i="2" s="1"/>
  <c r="Q312" i="2"/>
  <c r="V312" i="2" s="1"/>
  <c r="R312" i="2"/>
  <c r="W312" i="2" s="1"/>
  <c r="N312" i="2"/>
  <c r="S312" i="2" s="1"/>
  <c r="Q206" i="2"/>
  <c r="V206" i="2" s="1"/>
  <c r="R206" i="2"/>
  <c r="W206" i="2" s="1"/>
  <c r="N206" i="2"/>
  <c r="S206" i="2" s="1"/>
  <c r="O206" i="2"/>
  <c r="T206" i="2" s="1"/>
  <c r="P206" i="2"/>
  <c r="U206" i="2" s="1"/>
  <c r="P309" i="2"/>
  <c r="U309" i="2" s="1"/>
  <c r="Q309" i="2"/>
  <c r="V309" i="2" s="1"/>
  <c r="R309" i="2"/>
  <c r="W309" i="2" s="1"/>
  <c r="N309" i="2"/>
  <c r="S309" i="2" s="1"/>
  <c r="O309" i="2"/>
  <c r="T309" i="2" s="1"/>
  <c r="N173" i="2"/>
  <c r="S173" i="2" s="1"/>
  <c r="O173" i="2"/>
  <c r="T173" i="2" s="1"/>
  <c r="P173" i="2"/>
  <c r="U173" i="2" s="1"/>
  <c r="Q173" i="2"/>
  <c r="V173" i="2" s="1"/>
  <c r="R173" i="2"/>
  <c r="W173" i="2" s="1"/>
  <c r="Q213" i="2"/>
  <c r="V213" i="2" s="1"/>
  <c r="N213" i="2"/>
  <c r="S213" i="2" s="1"/>
  <c r="O213" i="2"/>
  <c r="T213" i="2" s="1"/>
  <c r="P213" i="2"/>
  <c r="U213" i="2" s="1"/>
  <c r="R213" i="2"/>
  <c r="W213" i="2" s="1"/>
  <c r="N269" i="2"/>
  <c r="S269" i="2" s="1"/>
  <c r="O269" i="2"/>
  <c r="T269" i="2" s="1"/>
  <c r="P269" i="2"/>
  <c r="U269" i="2" s="1"/>
  <c r="Q269" i="2"/>
  <c r="V269" i="2" s="1"/>
  <c r="R269" i="2"/>
  <c r="W269" i="2" s="1"/>
  <c r="P288" i="2"/>
  <c r="U288" i="2" s="1"/>
  <c r="Q288" i="2"/>
  <c r="V288" i="2" s="1"/>
  <c r="R288" i="2"/>
  <c r="W288" i="2" s="1"/>
  <c r="N288" i="2"/>
  <c r="S288" i="2" s="1"/>
  <c r="O288" i="2"/>
  <c r="T288" i="2" s="1"/>
  <c r="Q314" i="2"/>
  <c r="V314" i="2" s="1"/>
  <c r="R314" i="2"/>
  <c r="W314" i="2" s="1"/>
  <c r="O314" i="2"/>
  <c r="T314" i="2" s="1"/>
  <c r="P314" i="2"/>
  <c r="U314" i="2" s="1"/>
  <c r="N314" i="2"/>
  <c r="S314" i="2" s="1"/>
  <c r="N172" i="2"/>
  <c r="S172" i="2" s="1"/>
  <c r="O172" i="2"/>
  <c r="T172" i="2" s="1"/>
  <c r="P172" i="2"/>
  <c r="U172" i="2" s="1"/>
  <c r="Q172" i="2"/>
  <c r="V172" i="2" s="1"/>
  <c r="R172" i="2"/>
  <c r="W172" i="2" s="1"/>
  <c r="Q215" i="2"/>
  <c r="V215" i="2" s="1"/>
  <c r="R215" i="2"/>
  <c r="W215" i="2" s="1"/>
  <c r="N215" i="2"/>
  <c r="S215" i="2" s="1"/>
  <c r="O215" i="2"/>
  <c r="T215" i="2" s="1"/>
  <c r="P215" i="2"/>
  <c r="U215" i="2" s="1"/>
  <c r="R315" i="2"/>
  <c r="W315" i="2" s="1"/>
  <c r="N315" i="2"/>
  <c r="S315" i="2" s="1"/>
  <c r="O315" i="2"/>
  <c r="T315" i="2" s="1"/>
  <c r="P315" i="2"/>
  <c r="U315" i="2" s="1"/>
  <c r="Q315" i="2"/>
  <c r="V315" i="2" s="1"/>
  <c r="P228" i="2"/>
  <c r="U228" i="2" s="1"/>
  <c r="N228" i="2"/>
  <c r="S228" i="2" s="1"/>
  <c r="Q228" i="2"/>
  <c r="V228" i="2" s="1"/>
  <c r="O228" i="2"/>
  <c r="T228" i="2" s="1"/>
  <c r="R228" i="2"/>
  <c r="W228" i="2" s="1"/>
  <c r="O298" i="2"/>
  <c r="T298" i="2" s="1"/>
  <c r="P298" i="2"/>
  <c r="U298" i="2" s="1"/>
  <c r="Q298" i="2"/>
  <c r="V298" i="2" s="1"/>
  <c r="R298" i="2"/>
  <c r="W298" i="2" s="1"/>
  <c r="N298" i="2"/>
  <c r="S298" i="2" s="1"/>
  <c r="P199" i="2"/>
  <c r="U199" i="2" s="1"/>
  <c r="Q199" i="2"/>
  <c r="V199" i="2" s="1"/>
  <c r="O199" i="2"/>
  <c r="T199" i="2" s="1"/>
  <c r="N199" i="2"/>
  <c r="S199" i="2" s="1"/>
  <c r="R199" i="2"/>
  <c r="W199" i="2" s="1"/>
  <c r="P182" i="2"/>
  <c r="U182" i="2" s="1"/>
  <c r="N182" i="2"/>
  <c r="S182" i="2" s="1"/>
  <c r="Q182" i="2"/>
  <c r="V182" i="2" s="1"/>
  <c r="O182" i="2"/>
  <c r="T182" i="2" s="1"/>
  <c r="R182" i="2"/>
  <c r="W182" i="2" s="1"/>
  <c r="N186" i="2"/>
  <c r="S186" i="2" s="1"/>
  <c r="O186" i="2"/>
  <c r="T186" i="2" s="1"/>
  <c r="P186" i="2"/>
  <c r="U186" i="2" s="1"/>
  <c r="R186" i="2"/>
  <c r="W186" i="2" s="1"/>
  <c r="Q186" i="2"/>
  <c r="V186" i="2" s="1"/>
  <c r="R275" i="2"/>
  <c r="W275" i="2" s="1"/>
  <c r="N275" i="2"/>
  <c r="S275" i="2" s="1"/>
  <c r="O275" i="2"/>
  <c r="T275" i="2" s="1"/>
  <c r="Q275" i="2"/>
  <c r="V275" i="2" s="1"/>
  <c r="P275" i="2"/>
  <c r="U275" i="2" s="1"/>
  <c r="N235" i="2"/>
  <c r="S235" i="2" s="1"/>
  <c r="Q235" i="2"/>
  <c r="V235" i="2" s="1"/>
  <c r="R235" i="2"/>
  <c r="W235" i="2" s="1"/>
  <c r="P235" i="2"/>
  <c r="U235" i="2" s="1"/>
  <c r="O235" i="2"/>
  <c r="T235" i="2" s="1"/>
  <c r="N318" i="2"/>
  <c r="S318" i="2" s="1"/>
  <c r="O318" i="2"/>
  <c r="T318" i="2" s="1"/>
  <c r="P318" i="2"/>
  <c r="U318" i="2" s="1"/>
  <c r="Q318" i="2"/>
  <c r="V318" i="2" s="1"/>
  <c r="R318" i="2"/>
  <c r="W318" i="2" s="1"/>
  <c r="N277" i="2"/>
  <c r="S277" i="2" s="1"/>
  <c r="O277" i="2"/>
  <c r="T277" i="2" s="1"/>
  <c r="P277" i="2"/>
  <c r="U277" i="2" s="1"/>
  <c r="Q277" i="2"/>
  <c r="V277" i="2" s="1"/>
  <c r="R277" i="2"/>
  <c r="W277" i="2" s="1"/>
  <c r="N296" i="2"/>
  <c r="S296" i="2" s="1"/>
  <c r="O296" i="2"/>
  <c r="T296" i="2" s="1"/>
  <c r="P296" i="2"/>
  <c r="U296" i="2" s="1"/>
  <c r="Q296" i="2"/>
  <c r="V296" i="2" s="1"/>
  <c r="R296" i="2"/>
  <c r="W296" i="2" s="1"/>
  <c r="O237" i="2"/>
  <c r="T237" i="2" s="1"/>
  <c r="P237" i="2"/>
  <c r="U237" i="2" s="1"/>
  <c r="N237" i="2"/>
  <c r="S237" i="2" s="1"/>
  <c r="Q237" i="2"/>
  <c r="V237" i="2" s="1"/>
  <c r="R237" i="2"/>
  <c r="W237" i="2" s="1"/>
  <c r="P287" i="2"/>
  <c r="U287" i="2" s="1"/>
  <c r="O287" i="2"/>
  <c r="T287" i="2" s="1"/>
  <c r="N287" i="2"/>
  <c r="S287" i="2" s="1"/>
  <c r="Q287" i="2"/>
  <c r="V287" i="2" s="1"/>
  <c r="R287" i="2"/>
  <c r="W287" i="2" s="1"/>
  <c r="N294" i="2"/>
  <c r="S294" i="2" s="1"/>
  <c r="O294" i="2"/>
  <c r="T294" i="2" s="1"/>
  <c r="R294" i="2"/>
  <c r="W294" i="2" s="1"/>
  <c r="Q294" i="2"/>
  <c r="V294" i="2" s="1"/>
  <c r="P294" i="2"/>
  <c r="U294" i="2" s="1"/>
  <c r="O192" i="2"/>
  <c r="T192" i="2" s="1"/>
  <c r="P192" i="2"/>
  <c r="U192" i="2" s="1"/>
  <c r="Q192" i="2"/>
  <c r="V192" i="2" s="1"/>
  <c r="R192" i="2"/>
  <c r="W192" i="2" s="1"/>
  <c r="N192" i="2"/>
  <c r="S192" i="2" s="1"/>
  <c r="N244" i="2"/>
  <c r="S244" i="2" s="1"/>
  <c r="O244" i="2"/>
  <c r="T244" i="2" s="1"/>
  <c r="R244" i="2"/>
  <c r="W244" i="2" s="1"/>
  <c r="P244" i="2"/>
  <c r="U244" i="2" s="1"/>
  <c r="Q244" i="2"/>
  <c r="V244" i="2" s="1"/>
  <c r="N183" i="2"/>
  <c r="S183" i="2" s="1"/>
  <c r="O183" i="2"/>
  <c r="T183" i="2" s="1"/>
  <c r="R183" i="2"/>
  <c r="W183" i="2" s="1"/>
  <c r="Q183" i="2"/>
  <c r="V183" i="2" s="1"/>
  <c r="P183" i="2"/>
  <c r="U183" i="2" s="1"/>
  <c r="R258" i="2"/>
  <c r="W258" i="2" s="1"/>
  <c r="Q258" i="2"/>
  <c r="V258" i="2" s="1"/>
  <c r="N258" i="2"/>
  <c r="S258" i="2" s="1"/>
  <c r="O258" i="2"/>
  <c r="T258" i="2" s="1"/>
  <c r="P258" i="2"/>
  <c r="U258" i="2" s="1"/>
  <c r="N268" i="2"/>
  <c r="S268" i="2" s="1"/>
  <c r="O268" i="2"/>
  <c r="T268" i="2" s="1"/>
  <c r="P268" i="2"/>
  <c r="U268" i="2" s="1"/>
  <c r="Q268" i="2"/>
  <c r="V268" i="2" s="1"/>
  <c r="R268" i="2"/>
  <c r="W268" i="2" s="1"/>
  <c r="P175" i="2"/>
  <c r="U175" i="2" s="1"/>
  <c r="O175" i="2"/>
  <c r="T175" i="2" s="1"/>
  <c r="N175" i="2"/>
  <c r="S175" i="2" s="1"/>
  <c r="Q175" i="2"/>
  <c r="V175" i="2" s="1"/>
  <c r="R175" i="2"/>
  <c r="W175" i="2" s="1"/>
  <c r="N219" i="2"/>
  <c r="S219" i="2" s="1"/>
  <c r="O219" i="2"/>
  <c r="T219" i="2" s="1"/>
  <c r="R219" i="2"/>
  <c r="W219" i="2" s="1"/>
  <c r="P219" i="2"/>
  <c r="U219" i="2" s="1"/>
  <c r="Q219" i="2"/>
  <c r="V219" i="2" s="1"/>
  <c r="O233" i="2"/>
  <c r="T233" i="2" s="1"/>
  <c r="P233" i="2"/>
  <c r="U233" i="2" s="1"/>
  <c r="Q233" i="2"/>
  <c r="V233" i="2" s="1"/>
  <c r="R233" i="2"/>
  <c r="W233" i="2" s="1"/>
  <c r="N233" i="2"/>
  <c r="S233" i="2" s="1"/>
  <c r="N195" i="2"/>
  <c r="S195" i="2" s="1"/>
  <c r="O195" i="2"/>
  <c r="T195" i="2" s="1"/>
  <c r="Q195" i="2"/>
  <c r="V195" i="2" s="1"/>
  <c r="R195" i="2"/>
  <c r="W195" i="2" s="1"/>
  <c r="P195" i="2"/>
  <c r="U195" i="2" s="1"/>
  <c r="N197" i="2"/>
  <c r="S197" i="2" s="1"/>
  <c r="O197" i="2"/>
  <c r="T197" i="2" s="1"/>
  <c r="P197" i="2"/>
  <c r="U197" i="2" s="1"/>
  <c r="Q197" i="2"/>
  <c r="V197" i="2" s="1"/>
  <c r="R197" i="2"/>
  <c r="W197" i="2" s="1"/>
  <c r="P313" i="2"/>
  <c r="U313" i="2" s="1"/>
  <c r="Q313" i="2"/>
  <c r="V313" i="2" s="1"/>
  <c r="N313" i="2"/>
  <c r="S313" i="2" s="1"/>
  <c r="O313" i="2"/>
  <c r="T313" i="2" s="1"/>
  <c r="R313" i="2"/>
  <c r="W313" i="2" s="1"/>
  <c r="P209" i="2"/>
  <c r="U209" i="2" s="1"/>
  <c r="N209" i="2"/>
  <c r="S209" i="2" s="1"/>
  <c r="O209" i="2"/>
  <c r="T209" i="2" s="1"/>
  <c r="R209" i="2"/>
  <c r="W209" i="2" s="1"/>
  <c r="Q209" i="2"/>
  <c r="V209" i="2" s="1"/>
  <c r="N208" i="2"/>
  <c r="S208" i="2" s="1"/>
  <c r="O208" i="2"/>
  <c r="T208" i="2" s="1"/>
  <c r="P208" i="2"/>
  <c r="U208" i="2" s="1"/>
  <c r="Q208" i="2"/>
  <c r="V208" i="2" s="1"/>
  <c r="R208" i="2"/>
  <c r="W208" i="2" s="1"/>
  <c r="R261" i="2"/>
  <c r="W261" i="2" s="1"/>
  <c r="N261" i="2"/>
  <c r="S261" i="2" s="1"/>
  <c r="O261" i="2"/>
  <c r="T261" i="2" s="1"/>
  <c r="P261" i="2"/>
  <c r="U261" i="2" s="1"/>
  <c r="Q261" i="2"/>
  <c r="V261" i="2" s="1"/>
  <c r="D11" i="24"/>
  <c r="D93" i="24"/>
  <c r="D96" i="24"/>
  <c r="D90" i="24"/>
  <c r="D71" i="24"/>
  <c r="M252" i="2"/>
  <c r="P110" i="2"/>
  <c r="U110" i="2" s="1"/>
  <c r="Q110" i="2"/>
  <c r="V110" i="2" s="1"/>
  <c r="R110" i="2"/>
  <c r="W110" i="2" s="1"/>
  <c r="N110" i="2"/>
  <c r="S110" i="2" s="1"/>
  <c r="M163" i="2"/>
  <c r="Q163" i="2" s="1"/>
  <c r="V163" i="2" s="1"/>
  <c r="I241" i="2"/>
  <c r="C43" i="6"/>
  <c r="E43" i="6"/>
  <c r="D43" i="6"/>
  <c r="B43" i="6"/>
  <c r="E22" i="6"/>
  <c r="E27" i="6"/>
  <c r="E11" i="6"/>
  <c r="E29" i="6"/>
  <c r="E32" i="6"/>
  <c r="B34" i="6"/>
  <c r="B33" i="6"/>
  <c r="E18" i="6"/>
  <c r="E33" i="6"/>
  <c r="E10" i="6"/>
  <c r="E6" i="6"/>
  <c r="N238" i="2" l="1"/>
  <c r="S238" i="2" s="1"/>
  <c r="O200" i="2"/>
  <c r="T200" i="2" s="1"/>
  <c r="P234" i="2"/>
  <c r="U234" i="2" s="1"/>
  <c r="Q234" i="2"/>
  <c r="V234" i="2" s="1"/>
  <c r="R184" i="2"/>
  <c r="W184" i="2" s="1"/>
  <c r="R174" i="2"/>
  <c r="W174" i="2" s="1"/>
  <c r="Q184" i="2"/>
  <c r="V184" i="2" s="1"/>
  <c r="O234" i="2"/>
  <c r="T234" i="2" s="1"/>
  <c r="N234" i="2"/>
  <c r="S234" i="2" s="1"/>
  <c r="Q174" i="2"/>
  <c r="V174" i="2" s="1"/>
  <c r="P174" i="2"/>
  <c r="U174" i="2" s="1"/>
  <c r="O174" i="2"/>
  <c r="T174" i="2" s="1"/>
  <c r="N252" i="2"/>
  <c r="S252" i="2" s="1"/>
  <c r="O252" i="2"/>
  <c r="T252" i="2" s="1"/>
  <c r="P252" i="2"/>
  <c r="U252" i="2" s="1"/>
  <c r="Q252" i="2"/>
  <c r="V252" i="2" s="1"/>
  <c r="R252" i="2"/>
  <c r="W252" i="2" s="1"/>
  <c r="R163" i="2"/>
  <c r="W163" i="2" s="1"/>
  <c r="P163" i="2"/>
  <c r="U163" i="2" s="1"/>
  <c r="O163" i="2"/>
  <c r="T163" i="2" s="1"/>
  <c r="N163" i="2"/>
  <c r="S163" i="2" s="1"/>
  <c r="H361" i="2"/>
  <c r="H360" i="2"/>
  <c r="H356" i="2"/>
  <c r="H355" i="2"/>
  <c r="H354" i="2"/>
  <c r="H353" i="2"/>
  <c r="H27" i="2"/>
  <c r="H351" i="2"/>
  <c r="H350" i="2"/>
  <c r="H156" i="2" l="1"/>
  <c r="I156" i="2" s="1"/>
  <c r="I356" i="2"/>
  <c r="I353" i="2"/>
  <c r="H60" i="2"/>
  <c r="I60" i="2" s="1"/>
  <c r="H352" i="2"/>
  <c r="I351" i="2"/>
  <c r="I350" i="2"/>
  <c r="I361" i="2"/>
  <c r="I360" i="2"/>
  <c r="I355" i="2"/>
  <c r="I354" i="2"/>
  <c r="I27" i="2"/>
  <c r="I352" i="2" l="1"/>
  <c r="H35" i="2"/>
  <c r="H348" i="2"/>
  <c r="H349" i="2"/>
  <c r="E39" i="6"/>
  <c r="D39" i="6"/>
  <c r="B39" i="6"/>
  <c r="D38" i="6"/>
  <c r="E38" i="6"/>
  <c r="B38" i="6"/>
  <c r="B36" i="6"/>
  <c r="I349" i="2" l="1"/>
  <c r="I348" i="2"/>
  <c r="I35" i="2"/>
  <c r="B88" i="1"/>
  <c r="H321" i="2"/>
  <c r="H41" i="2"/>
  <c r="B91" i="1"/>
  <c r="H358" i="2"/>
  <c r="H75" i="2"/>
  <c r="H74" i="2"/>
  <c r="H70" i="2"/>
  <c r="H343" i="2"/>
  <c r="I343" i="2" s="1"/>
  <c r="H345" i="2"/>
  <c r="D40" i="6"/>
  <c r="H342" i="2"/>
  <c r="H11" i="2"/>
  <c r="H9" i="2"/>
  <c r="E35" i="6"/>
  <c r="B35" i="6"/>
  <c r="H337" i="2"/>
  <c r="B32" i="6"/>
  <c r="E24" i="4"/>
  <c r="H259" i="2"/>
  <c r="H317" i="2"/>
  <c r="H327" i="2"/>
  <c r="I327" i="2" s="1"/>
  <c r="H326" i="2"/>
  <c r="I326" i="2" s="1"/>
  <c r="H68" i="2"/>
  <c r="I358" i="2" l="1"/>
  <c r="I70" i="2"/>
  <c r="I74" i="2"/>
  <c r="I342" i="2"/>
  <c r="I345" i="2"/>
  <c r="E40" i="6"/>
  <c r="H203" i="2"/>
  <c r="I203" i="2" s="1"/>
  <c r="I321" i="2"/>
  <c r="I75" i="2"/>
  <c r="H362" i="2"/>
  <c r="I41" i="2"/>
  <c r="I11" i="2"/>
  <c r="I9" i="2"/>
  <c r="I337" i="2"/>
  <c r="I259" i="2"/>
  <c r="I317" i="2"/>
  <c r="I68" i="2"/>
  <c r="F45" i="6"/>
  <c r="F46" i="6"/>
  <c r="F47" i="6"/>
  <c r="F48" i="6"/>
  <c r="F49" i="6"/>
  <c r="F50" i="6"/>
  <c r="F51" i="6"/>
  <c r="F52" i="6"/>
  <c r="F53" i="6"/>
  <c r="F54" i="6"/>
  <c r="H190" i="2"/>
  <c r="I190" i="2" s="1"/>
  <c r="H185" i="2"/>
  <c r="I185" i="2" s="1"/>
  <c r="H63" i="2"/>
  <c r="I63" i="2" s="1"/>
  <c r="H67" i="2"/>
  <c r="I67" i="2" s="1"/>
  <c r="H12" i="2"/>
  <c r="I12" i="2" s="1"/>
  <c r="F18" i="5"/>
  <c r="L344" i="2" s="1"/>
  <c r="M344" i="2" s="1"/>
  <c r="F17" i="5"/>
  <c r="H251" i="2"/>
  <c r="I251" i="2" s="1"/>
  <c r="H263" i="2"/>
  <c r="I263" i="2" s="1"/>
  <c r="H191" i="2"/>
  <c r="I191" i="2" s="1"/>
  <c r="H42" i="2"/>
  <c r="I42" i="2" s="1"/>
  <c r="H97" i="2"/>
  <c r="I97" i="2" s="1"/>
  <c r="H333" i="2"/>
  <c r="I333" i="2" s="1"/>
  <c r="H193" i="2"/>
  <c r="I193" i="2" s="1"/>
  <c r="H284" i="2"/>
  <c r="I284" i="2" s="1"/>
  <c r="H265" i="2"/>
  <c r="I265" i="2" s="1"/>
  <c r="F16" i="5"/>
  <c r="F15" i="5"/>
  <c r="H112" i="2"/>
  <c r="I112" i="2" s="1"/>
  <c r="H106" i="2"/>
  <c r="I106" i="2" s="1"/>
  <c r="H87" i="2"/>
  <c r="I87" i="2" s="1"/>
  <c r="H98" i="2"/>
  <c r="I98" i="2" s="1"/>
  <c r="H53" i="2"/>
  <c r="I53" i="2" s="1"/>
  <c r="H71" i="2"/>
  <c r="I71" i="2" s="1"/>
  <c r="L399" i="2" l="1"/>
  <c r="M399" i="2" s="1"/>
  <c r="L381" i="2"/>
  <c r="M381" i="2" s="1"/>
  <c r="L380" i="2"/>
  <c r="M380" i="2" s="1"/>
  <c r="L351" i="2"/>
  <c r="M351" i="2" s="1"/>
  <c r="L355" i="2"/>
  <c r="M355" i="2" s="1"/>
  <c r="L359" i="2"/>
  <c r="M359" i="2" s="1"/>
  <c r="L396" i="2"/>
  <c r="M396" i="2" s="1"/>
  <c r="L394" i="2"/>
  <c r="M394" i="2" s="1"/>
  <c r="L392" i="2"/>
  <c r="M392" i="2" s="1"/>
  <c r="L390" i="2"/>
  <c r="M390" i="2" s="1"/>
  <c r="L388" i="2"/>
  <c r="M388" i="2" s="1"/>
  <c r="L386" i="2"/>
  <c r="M386" i="2" s="1"/>
  <c r="L384" i="2"/>
  <c r="M384" i="2" s="1"/>
  <c r="L379" i="2"/>
  <c r="M379" i="2" s="1"/>
  <c r="L377" i="2"/>
  <c r="M377" i="2" s="1"/>
  <c r="L375" i="2"/>
  <c r="M375" i="2" s="1"/>
  <c r="L373" i="2"/>
  <c r="M373" i="2" s="1"/>
  <c r="L371" i="2"/>
  <c r="M371" i="2" s="1"/>
  <c r="L369" i="2"/>
  <c r="M369" i="2" s="1"/>
  <c r="L367" i="2"/>
  <c r="M367" i="2" s="1"/>
  <c r="L348" i="2"/>
  <c r="M348" i="2" s="1"/>
  <c r="L352" i="2"/>
  <c r="M352" i="2" s="1"/>
  <c r="L356" i="2"/>
  <c r="M356" i="2" s="1"/>
  <c r="L360" i="2"/>
  <c r="M360" i="2" s="1"/>
  <c r="L393" i="2"/>
  <c r="M393" i="2" s="1"/>
  <c r="L385" i="2"/>
  <c r="M385" i="2" s="1"/>
  <c r="L378" i="2"/>
  <c r="M378" i="2" s="1"/>
  <c r="L376" i="2"/>
  <c r="M376" i="2" s="1"/>
  <c r="L374" i="2"/>
  <c r="M374" i="2" s="1"/>
  <c r="L372" i="2"/>
  <c r="M372" i="2" s="1"/>
  <c r="L370" i="2"/>
  <c r="M370" i="2" s="1"/>
  <c r="L368" i="2"/>
  <c r="M368" i="2" s="1"/>
  <c r="L366" i="2"/>
  <c r="M366" i="2" s="1"/>
  <c r="L350" i="2"/>
  <c r="M350" i="2" s="1"/>
  <c r="L354" i="2"/>
  <c r="M354" i="2" s="1"/>
  <c r="L358" i="2"/>
  <c r="M358" i="2" s="1"/>
  <c r="P358" i="2" s="1"/>
  <c r="U358" i="2" s="1"/>
  <c r="L362" i="2"/>
  <c r="L398" i="2"/>
  <c r="M398" i="2" s="1"/>
  <c r="L363" i="2"/>
  <c r="M363" i="2" s="1"/>
  <c r="L349" i="2"/>
  <c r="M349" i="2" s="1"/>
  <c r="L353" i="2"/>
  <c r="M353" i="2" s="1"/>
  <c r="L357" i="2"/>
  <c r="M357" i="2" s="1"/>
  <c r="L361" i="2"/>
  <c r="M361" i="2" s="1"/>
  <c r="L397" i="2"/>
  <c r="M397" i="2" s="1"/>
  <c r="L395" i="2"/>
  <c r="M395" i="2" s="1"/>
  <c r="L391" i="2"/>
  <c r="M391" i="2" s="1"/>
  <c r="L389" i="2"/>
  <c r="M389" i="2" s="1"/>
  <c r="L387" i="2"/>
  <c r="M387" i="2" s="1"/>
  <c r="R344" i="2"/>
  <c r="N344" i="2"/>
  <c r="S344" i="2" s="1"/>
  <c r="Q344" i="2"/>
  <c r="V344" i="2" s="1"/>
  <c r="P344" i="2"/>
  <c r="U344" i="2" s="1"/>
  <c r="O344" i="2"/>
  <c r="T344" i="2" s="1"/>
  <c r="F40" i="6"/>
  <c r="G40" i="6" s="1"/>
  <c r="K40" i="6" s="1"/>
  <c r="M362" i="2"/>
  <c r="I362" i="2"/>
  <c r="F9" i="5"/>
  <c r="F7" i="5"/>
  <c r="Q358" i="2" l="1"/>
  <c r="V358" i="2" s="1"/>
  <c r="R358" i="2"/>
  <c r="O358" i="2"/>
  <c r="T358" i="2" s="1"/>
  <c r="N358" i="2"/>
  <c r="S358" i="2" s="1"/>
  <c r="Q387" i="2"/>
  <c r="V387" i="2" s="1"/>
  <c r="P387" i="2"/>
  <c r="U387" i="2" s="1"/>
  <c r="B6" i="23" s="1"/>
  <c r="C6" i="23" s="1"/>
  <c r="O387" i="2"/>
  <c r="T387" i="2" s="1"/>
  <c r="R387" i="2"/>
  <c r="N387" i="2"/>
  <c r="S387" i="2" s="1"/>
  <c r="R397" i="2"/>
  <c r="N397" i="2"/>
  <c r="S397" i="2" s="1"/>
  <c r="Q397" i="2"/>
  <c r="V397" i="2" s="1"/>
  <c r="O397" i="2"/>
  <c r="T397" i="2" s="1"/>
  <c r="P397" i="2"/>
  <c r="U397" i="2" s="1"/>
  <c r="B16" i="23" s="1"/>
  <c r="C16" i="23" s="1"/>
  <c r="P349" i="2"/>
  <c r="U349" i="2" s="1"/>
  <c r="R349" i="2"/>
  <c r="O349" i="2"/>
  <c r="T349" i="2" s="1"/>
  <c r="N349" i="2"/>
  <c r="S349" i="2" s="1"/>
  <c r="Q349" i="2"/>
  <c r="V349" i="2" s="1"/>
  <c r="N368" i="2"/>
  <c r="S368" i="2" s="1"/>
  <c r="R368" i="2"/>
  <c r="Q368" i="2"/>
  <c r="V368" i="2" s="1"/>
  <c r="O368" i="2"/>
  <c r="T368" i="2" s="1"/>
  <c r="F5" i="23" s="1"/>
  <c r="G5" i="23" s="1"/>
  <c r="P368" i="2"/>
  <c r="U368" i="2" s="1"/>
  <c r="P376" i="2"/>
  <c r="U376" i="2" s="1"/>
  <c r="Q376" i="2"/>
  <c r="V376" i="2" s="1"/>
  <c r="N376" i="2"/>
  <c r="S376" i="2" s="1"/>
  <c r="O376" i="2"/>
  <c r="T376" i="2" s="1"/>
  <c r="F13" i="23" s="1"/>
  <c r="G13" i="23" s="1"/>
  <c r="R376" i="2"/>
  <c r="O360" i="2"/>
  <c r="T360" i="2" s="1"/>
  <c r="R360" i="2"/>
  <c r="N360" i="2"/>
  <c r="S360" i="2" s="1"/>
  <c r="Q360" i="2"/>
  <c r="V360" i="2" s="1"/>
  <c r="P360" i="2"/>
  <c r="U360" i="2" s="1"/>
  <c r="Q367" i="2"/>
  <c r="V367" i="2" s="1"/>
  <c r="O367" i="2"/>
  <c r="T367" i="2" s="1"/>
  <c r="F4" i="23" s="1"/>
  <c r="G4" i="23" s="1"/>
  <c r="R367" i="2"/>
  <c r="N367" i="2"/>
  <c r="S367" i="2" s="1"/>
  <c r="P367" i="2"/>
  <c r="U367" i="2" s="1"/>
  <c r="Q375" i="2"/>
  <c r="V375" i="2" s="1"/>
  <c r="R375" i="2"/>
  <c r="P375" i="2"/>
  <c r="U375" i="2" s="1"/>
  <c r="N375" i="2"/>
  <c r="S375" i="2" s="1"/>
  <c r="O375" i="2"/>
  <c r="T375" i="2" s="1"/>
  <c r="F12" i="23" s="1"/>
  <c r="G12" i="23" s="1"/>
  <c r="R386" i="2"/>
  <c r="O386" i="2"/>
  <c r="T386" i="2" s="1"/>
  <c r="P386" i="2"/>
  <c r="U386" i="2" s="1"/>
  <c r="B5" i="23" s="1"/>
  <c r="C5" i="23" s="1"/>
  <c r="Q386" i="2"/>
  <c r="V386" i="2" s="1"/>
  <c r="N386" i="2"/>
  <c r="S386" i="2" s="1"/>
  <c r="P394" i="2"/>
  <c r="U394" i="2" s="1"/>
  <c r="B13" i="23" s="1"/>
  <c r="C13" i="23" s="1"/>
  <c r="Q394" i="2"/>
  <c r="V394" i="2" s="1"/>
  <c r="N394" i="2"/>
  <c r="S394" i="2" s="1"/>
  <c r="R394" i="2"/>
  <c r="O394" i="2"/>
  <c r="T394" i="2" s="1"/>
  <c r="Q351" i="2"/>
  <c r="V351" i="2" s="1"/>
  <c r="O351" i="2"/>
  <c r="T351" i="2" s="1"/>
  <c r="R351" i="2"/>
  <c r="P351" i="2"/>
  <c r="U351" i="2" s="1"/>
  <c r="N351" i="2"/>
  <c r="S351" i="2" s="1"/>
  <c r="P389" i="2"/>
  <c r="U389" i="2" s="1"/>
  <c r="B8" i="23" s="1"/>
  <c r="C8" i="23" s="1"/>
  <c r="O389" i="2"/>
  <c r="T389" i="2" s="1"/>
  <c r="Q389" i="2"/>
  <c r="V389" i="2" s="1"/>
  <c r="R389" i="2"/>
  <c r="N389" i="2"/>
  <c r="S389" i="2" s="1"/>
  <c r="Q361" i="2"/>
  <c r="V361" i="2" s="1"/>
  <c r="N361" i="2"/>
  <c r="S361" i="2" s="1"/>
  <c r="P361" i="2"/>
  <c r="U361" i="2" s="1"/>
  <c r="R361" i="2"/>
  <c r="O361" i="2"/>
  <c r="T361" i="2" s="1"/>
  <c r="N363" i="2"/>
  <c r="S363" i="2" s="1"/>
  <c r="R363" i="2"/>
  <c r="O363" i="2"/>
  <c r="T363" i="2" s="1"/>
  <c r="Q363" i="2"/>
  <c r="V363" i="2" s="1"/>
  <c r="P363" i="2"/>
  <c r="U363" i="2" s="1"/>
  <c r="P354" i="2"/>
  <c r="U354" i="2" s="1"/>
  <c r="N354" i="2"/>
  <c r="S354" i="2" s="1"/>
  <c r="R354" i="2"/>
  <c r="O354" i="2"/>
  <c r="T354" i="2" s="1"/>
  <c r="Q354" i="2"/>
  <c r="V354" i="2" s="1"/>
  <c r="P370" i="2"/>
  <c r="U370" i="2" s="1"/>
  <c r="O370" i="2"/>
  <c r="T370" i="2" s="1"/>
  <c r="F7" i="23" s="1"/>
  <c r="G7" i="23" s="1"/>
  <c r="N370" i="2"/>
  <c r="S370" i="2" s="1"/>
  <c r="Q370" i="2"/>
  <c r="V370" i="2" s="1"/>
  <c r="R370" i="2"/>
  <c r="P378" i="2"/>
  <c r="U378" i="2" s="1"/>
  <c r="O378" i="2"/>
  <c r="T378" i="2" s="1"/>
  <c r="F15" i="23" s="1"/>
  <c r="G15" i="23" s="1"/>
  <c r="N378" i="2"/>
  <c r="S378" i="2" s="1"/>
  <c r="R378" i="2"/>
  <c r="Q378" i="2"/>
  <c r="V378" i="2" s="1"/>
  <c r="R356" i="2"/>
  <c r="O356" i="2"/>
  <c r="T356" i="2" s="1"/>
  <c r="Q356" i="2"/>
  <c r="V356" i="2" s="1"/>
  <c r="P356" i="2"/>
  <c r="U356" i="2" s="1"/>
  <c r="N356" i="2"/>
  <c r="S356" i="2" s="1"/>
  <c r="P369" i="2"/>
  <c r="U369" i="2" s="1"/>
  <c r="Q369" i="2"/>
  <c r="V369" i="2" s="1"/>
  <c r="R369" i="2"/>
  <c r="N369" i="2"/>
  <c r="S369" i="2" s="1"/>
  <c r="O369" i="2"/>
  <c r="T369" i="2" s="1"/>
  <c r="F6" i="23" s="1"/>
  <c r="G6" i="23" s="1"/>
  <c r="P377" i="2"/>
  <c r="U377" i="2" s="1"/>
  <c r="R377" i="2"/>
  <c r="Q377" i="2"/>
  <c r="V377" i="2" s="1"/>
  <c r="N377" i="2"/>
  <c r="S377" i="2" s="1"/>
  <c r="O377" i="2"/>
  <c r="T377" i="2" s="1"/>
  <c r="F14" i="23" s="1"/>
  <c r="G14" i="23" s="1"/>
  <c r="P388" i="2"/>
  <c r="U388" i="2" s="1"/>
  <c r="B7" i="23" s="1"/>
  <c r="C7" i="23" s="1"/>
  <c r="Q388" i="2"/>
  <c r="V388" i="2" s="1"/>
  <c r="R388" i="2"/>
  <c r="N388" i="2"/>
  <c r="S388" i="2" s="1"/>
  <c r="O388" i="2"/>
  <c r="T388" i="2" s="1"/>
  <c r="P396" i="2"/>
  <c r="U396" i="2" s="1"/>
  <c r="B15" i="23" s="1"/>
  <c r="C15" i="23" s="1"/>
  <c r="Q396" i="2"/>
  <c r="V396" i="2" s="1"/>
  <c r="O396" i="2"/>
  <c r="T396" i="2" s="1"/>
  <c r="N396" i="2"/>
  <c r="S396" i="2" s="1"/>
  <c r="R396" i="2"/>
  <c r="N380" i="2"/>
  <c r="S380" i="2" s="1"/>
  <c r="Q380" i="2"/>
  <c r="V380" i="2" s="1"/>
  <c r="P380" i="2"/>
  <c r="U380" i="2" s="1"/>
  <c r="R380" i="2"/>
  <c r="O380" i="2"/>
  <c r="T380" i="2" s="1"/>
  <c r="F17" i="23" s="1"/>
  <c r="G17" i="23" s="1"/>
  <c r="P391" i="2"/>
  <c r="U391" i="2" s="1"/>
  <c r="B10" i="23" s="1"/>
  <c r="C10" i="23" s="1"/>
  <c r="Q391" i="2"/>
  <c r="V391" i="2" s="1"/>
  <c r="N391" i="2"/>
  <c r="S391" i="2" s="1"/>
  <c r="R391" i="2"/>
  <c r="O391" i="2"/>
  <c r="T391" i="2" s="1"/>
  <c r="P357" i="2"/>
  <c r="U357" i="2" s="1"/>
  <c r="R357" i="2"/>
  <c r="O357" i="2"/>
  <c r="T357" i="2" s="1"/>
  <c r="N357" i="2"/>
  <c r="S357" i="2" s="1"/>
  <c r="Q357" i="2"/>
  <c r="V357" i="2" s="1"/>
  <c r="R398" i="2"/>
  <c r="Q398" i="2"/>
  <c r="V398" i="2" s="1"/>
  <c r="P398" i="2"/>
  <c r="U398" i="2" s="1"/>
  <c r="B17" i="23" s="1"/>
  <c r="C17" i="23" s="1"/>
  <c r="O398" i="2"/>
  <c r="T398" i="2" s="1"/>
  <c r="N398" i="2"/>
  <c r="S398" i="2" s="1"/>
  <c r="Q350" i="2"/>
  <c r="V350" i="2" s="1"/>
  <c r="P350" i="2"/>
  <c r="U350" i="2" s="1"/>
  <c r="N350" i="2"/>
  <c r="S350" i="2" s="1"/>
  <c r="R350" i="2"/>
  <c r="O350" i="2"/>
  <c r="T350" i="2" s="1"/>
  <c r="P372" i="2"/>
  <c r="U372" i="2" s="1"/>
  <c r="Q372" i="2"/>
  <c r="V372" i="2" s="1"/>
  <c r="O372" i="2"/>
  <c r="T372" i="2" s="1"/>
  <c r="F9" i="23" s="1"/>
  <c r="G9" i="23" s="1"/>
  <c r="N372" i="2"/>
  <c r="S372" i="2" s="1"/>
  <c r="R372" i="2"/>
  <c r="N385" i="2"/>
  <c r="S385" i="2" s="1"/>
  <c r="Q385" i="2"/>
  <c r="V385" i="2" s="1"/>
  <c r="O385" i="2"/>
  <c r="T385" i="2" s="1"/>
  <c r="P385" i="2"/>
  <c r="U385" i="2" s="1"/>
  <c r="B4" i="23" s="1"/>
  <c r="C4" i="23" s="1"/>
  <c r="R385" i="2"/>
  <c r="N352" i="2"/>
  <c r="S352" i="2" s="1"/>
  <c r="R352" i="2"/>
  <c r="O352" i="2"/>
  <c r="T352" i="2" s="1"/>
  <c r="Q352" i="2"/>
  <c r="V352" i="2" s="1"/>
  <c r="P352" i="2"/>
  <c r="U352" i="2" s="1"/>
  <c r="N371" i="2"/>
  <c r="S371" i="2" s="1"/>
  <c r="O371" i="2"/>
  <c r="T371" i="2" s="1"/>
  <c r="F8" i="23" s="1"/>
  <c r="G8" i="23" s="1"/>
  <c r="Q371" i="2"/>
  <c r="V371" i="2" s="1"/>
  <c r="R371" i="2"/>
  <c r="P371" i="2"/>
  <c r="U371" i="2" s="1"/>
  <c r="O379" i="2"/>
  <c r="T379" i="2" s="1"/>
  <c r="F16" i="23" s="1"/>
  <c r="G16" i="23" s="1"/>
  <c r="N379" i="2"/>
  <c r="S379" i="2" s="1"/>
  <c r="Q379" i="2"/>
  <c r="V379" i="2" s="1"/>
  <c r="R379" i="2"/>
  <c r="P379" i="2"/>
  <c r="U379" i="2" s="1"/>
  <c r="R390" i="2"/>
  <c r="P390" i="2"/>
  <c r="U390" i="2" s="1"/>
  <c r="B9" i="23" s="1"/>
  <c r="C9" i="23" s="1"/>
  <c r="Q390" i="2"/>
  <c r="V390" i="2" s="1"/>
  <c r="O390" i="2"/>
  <c r="T390" i="2" s="1"/>
  <c r="N390" i="2"/>
  <c r="S390" i="2" s="1"/>
  <c r="O359" i="2"/>
  <c r="T359" i="2" s="1"/>
  <c r="N359" i="2"/>
  <c r="S359" i="2" s="1"/>
  <c r="Q359" i="2"/>
  <c r="V359" i="2" s="1"/>
  <c r="P359" i="2"/>
  <c r="U359" i="2" s="1"/>
  <c r="R359" i="2"/>
  <c r="Q381" i="2"/>
  <c r="V381" i="2" s="1"/>
  <c r="O381" i="2"/>
  <c r="T381" i="2" s="1"/>
  <c r="F18" i="23" s="1"/>
  <c r="G18" i="23" s="1"/>
  <c r="R381" i="2"/>
  <c r="P381" i="2"/>
  <c r="U381" i="2" s="1"/>
  <c r="N381" i="2"/>
  <c r="S381" i="2" s="1"/>
  <c r="P395" i="2"/>
  <c r="U395" i="2" s="1"/>
  <c r="B14" i="23" s="1"/>
  <c r="C14" i="23" s="1"/>
  <c r="R395" i="2"/>
  <c r="Q395" i="2"/>
  <c r="V395" i="2" s="1"/>
  <c r="N395" i="2"/>
  <c r="S395" i="2" s="1"/>
  <c r="O395" i="2"/>
  <c r="T395" i="2" s="1"/>
  <c r="P353" i="2"/>
  <c r="U353" i="2" s="1"/>
  <c r="R353" i="2"/>
  <c r="O353" i="2"/>
  <c r="T353" i="2" s="1"/>
  <c r="N353" i="2"/>
  <c r="S353" i="2" s="1"/>
  <c r="Q353" i="2"/>
  <c r="V353" i="2" s="1"/>
  <c r="P366" i="2"/>
  <c r="U366" i="2" s="1"/>
  <c r="O366" i="2"/>
  <c r="T366" i="2" s="1"/>
  <c r="F3" i="23" s="1"/>
  <c r="G3" i="23" s="1"/>
  <c r="N366" i="2"/>
  <c r="S366" i="2" s="1"/>
  <c r="Q366" i="2"/>
  <c r="V366" i="2" s="1"/>
  <c r="R366" i="2"/>
  <c r="P374" i="2"/>
  <c r="U374" i="2" s="1"/>
  <c r="Q374" i="2"/>
  <c r="V374" i="2" s="1"/>
  <c r="O374" i="2"/>
  <c r="T374" i="2" s="1"/>
  <c r="F11" i="23" s="1"/>
  <c r="G11" i="23" s="1"/>
  <c r="R374" i="2"/>
  <c r="N374" i="2"/>
  <c r="S374" i="2" s="1"/>
  <c r="O393" i="2"/>
  <c r="T393" i="2" s="1"/>
  <c r="P393" i="2"/>
  <c r="U393" i="2" s="1"/>
  <c r="B12" i="23" s="1"/>
  <c r="C12" i="23" s="1"/>
  <c r="R393" i="2"/>
  <c r="N393" i="2"/>
  <c r="S393" i="2" s="1"/>
  <c r="Q393" i="2"/>
  <c r="V393" i="2" s="1"/>
  <c r="R348" i="2"/>
  <c r="N348" i="2"/>
  <c r="S348" i="2" s="1"/>
  <c r="Q348" i="2"/>
  <c r="V348" i="2" s="1"/>
  <c r="P348" i="2"/>
  <c r="U348" i="2" s="1"/>
  <c r="O348" i="2"/>
  <c r="T348" i="2" s="1"/>
  <c r="O373" i="2"/>
  <c r="T373" i="2" s="1"/>
  <c r="F10" i="23" s="1"/>
  <c r="G10" i="23" s="1"/>
  <c r="P373" i="2"/>
  <c r="U373" i="2" s="1"/>
  <c r="R373" i="2"/>
  <c r="N373" i="2"/>
  <c r="S373" i="2" s="1"/>
  <c r="Q373" i="2"/>
  <c r="V373" i="2" s="1"/>
  <c r="P384" i="2"/>
  <c r="U384" i="2" s="1"/>
  <c r="B3" i="23" s="1"/>
  <c r="C3" i="23" s="1"/>
  <c r="N384" i="2"/>
  <c r="S384" i="2" s="1"/>
  <c r="R384" i="2"/>
  <c r="Q384" i="2"/>
  <c r="V384" i="2" s="1"/>
  <c r="O384" i="2"/>
  <c r="T384" i="2" s="1"/>
  <c r="P392" i="2"/>
  <c r="U392" i="2" s="1"/>
  <c r="B11" i="23" s="1"/>
  <c r="C11" i="23" s="1"/>
  <c r="R392" i="2"/>
  <c r="Q392" i="2"/>
  <c r="V392" i="2" s="1"/>
  <c r="O392" i="2"/>
  <c r="T392" i="2" s="1"/>
  <c r="N392" i="2"/>
  <c r="S392" i="2" s="1"/>
  <c r="P355" i="2"/>
  <c r="U355" i="2" s="1"/>
  <c r="N355" i="2"/>
  <c r="S355" i="2" s="1"/>
  <c r="Q355" i="2"/>
  <c r="V355" i="2" s="1"/>
  <c r="O355" i="2"/>
  <c r="T355" i="2" s="1"/>
  <c r="R355" i="2"/>
  <c r="R399" i="2"/>
  <c r="P399" i="2"/>
  <c r="U399" i="2" s="1"/>
  <c r="B18" i="23" s="1"/>
  <c r="C18" i="23" s="1"/>
  <c r="O399" i="2"/>
  <c r="T399" i="2" s="1"/>
  <c r="N399" i="2"/>
  <c r="S399" i="2" s="1"/>
  <c r="Q399" i="2"/>
  <c r="V399" i="2" s="1"/>
  <c r="L41" i="2"/>
  <c r="M41" i="2" s="1"/>
  <c r="R41" i="2" s="1"/>
  <c r="W41" i="2" s="1"/>
  <c r="L114" i="2"/>
  <c r="M114" i="2" s="1"/>
  <c r="L84" i="2"/>
  <c r="M84" i="2" s="1"/>
  <c r="I40" i="6"/>
  <c r="M40" i="6" s="1"/>
  <c r="H40" i="6"/>
  <c r="L40" i="6" s="1"/>
  <c r="J40" i="6"/>
  <c r="N40" i="6" s="1"/>
  <c r="R362" i="2"/>
  <c r="Q362" i="2"/>
  <c r="V362" i="2" s="1"/>
  <c r="P362" i="2"/>
  <c r="U362" i="2" s="1"/>
  <c r="N362" i="2"/>
  <c r="S362" i="2" s="1"/>
  <c r="O362" i="2"/>
  <c r="T362" i="2" s="1"/>
  <c r="L97" i="2"/>
  <c r="M97" i="2" s="1"/>
  <c r="L70" i="2"/>
  <c r="M70" i="2" s="1"/>
  <c r="H292" i="2"/>
  <c r="I292" i="2" s="1"/>
  <c r="H176" i="2"/>
  <c r="I176" i="2" s="1"/>
  <c r="H177" i="2"/>
  <c r="I177" i="2" s="1"/>
  <c r="H194" i="2"/>
  <c r="I194" i="2" s="1"/>
  <c r="H201" i="2"/>
  <c r="I201" i="2" s="1"/>
  <c r="H202" i="2"/>
  <c r="I202" i="2" s="1"/>
  <c r="H211" i="2"/>
  <c r="I211" i="2" s="1"/>
  <c r="H230" i="2"/>
  <c r="I230" i="2" s="1"/>
  <c r="H246" i="2"/>
  <c r="I246" i="2" s="1"/>
  <c r="H305" i="2"/>
  <c r="I305" i="2" s="1"/>
  <c r="H323" i="2"/>
  <c r="I323" i="2" s="1"/>
  <c r="H324" i="2"/>
  <c r="I324" i="2" s="1"/>
  <c r="H242" i="2"/>
  <c r="I242" i="2" s="1"/>
  <c r="H254" i="2"/>
  <c r="I254" i="2" s="1"/>
  <c r="H179" i="2"/>
  <c r="I179" i="2" s="1"/>
  <c r="H180" i="2"/>
  <c r="I180" i="2" s="1"/>
  <c r="H217" i="2"/>
  <c r="I217" i="2" s="1"/>
  <c r="H218" i="2"/>
  <c r="I218" i="2" s="1"/>
  <c r="H240" i="2"/>
  <c r="I240" i="2" s="1"/>
  <c r="H243" i="2"/>
  <c r="I243" i="2" s="1"/>
  <c r="H247" i="2"/>
  <c r="I247" i="2" s="1"/>
  <c r="H255" i="2"/>
  <c r="I255" i="2" s="1"/>
  <c r="H279" i="2"/>
  <c r="I279" i="2" s="1"/>
  <c r="H280" i="2"/>
  <c r="I280" i="2" s="1"/>
  <c r="H293" i="2"/>
  <c r="I293" i="2" s="1"/>
  <c r="H303" i="2"/>
  <c r="I303" i="2" s="1"/>
  <c r="H307" i="2"/>
  <c r="I307" i="2" s="1"/>
  <c r="H308" i="2"/>
  <c r="I308" i="2" s="1"/>
  <c r="H320" i="2"/>
  <c r="I320" i="2" s="1"/>
  <c r="H322" i="2"/>
  <c r="I322" i="2" s="1"/>
  <c r="H325" i="2"/>
  <c r="I325" i="2" s="1"/>
  <c r="H328" i="2"/>
  <c r="I328" i="2" s="1"/>
  <c r="H331" i="2"/>
  <c r="I331" i="2" s="1"/>
  <c r="H332" i="2"/>
  <c r="I332" i="2" s="1"/>
  <c r="H336" i="2"/>
  <c r="I336" i="2" s="1"/>
  <c r="H100" i="2"/>
  <c r="I100" i="2" s="1"/>
  <c r="H8" i="2"/>
  <c r="H5" i="2"/>
  <c r="I5" i="2" s="1"/>
  <c r="H13" i="2"/>
  <c r="I13" i="2" s="1"/>
  <c r="H14" i="2"/>
  <c r="I14" i="2" s="1"/>
  <c r="H16" i="2"/>
  <c r="I16" i="2" s="1"/>
  <c r="H17" i="2"/>
  <c r="I17" i="2" s="1"/>
  <c r="H21" i="2"/>
  <c r="I21" i="2" s="1"/>
  <c r="H22" i="2"/>
  <c r="I22" i="2" s="1"/>
  <c r="H210" i="2"/>
  <c r="I210" i="2" s="1"/>
  <c r="H23" i="2"/>
  <c r="I23" i="2" s="1"/>
  <c r="H24" i="2"/>
  <c r="I24" i="2" s="1"/>
  <c r="H189" i="2"/>
  <c r="I189" i="2" s="1"/>
  <c r="H187" i="2"/>
  <c r="I187" i="2" s="1"/>
  <c r="H188" i="2"/>
  <c r="I188" i="2" s="1"/>
  <c r="H221" i="2"/>
  <c r="I221" i="2" s="1"/>
  <c r="H224" i="2"/>
  <c r="I224" i="2" s="1"/>
  <c r="H223" i="2"/>
  <c r="I223" i="2" s="1"/>
  <c r="H25" i="2"/>
  <c r="I25" i="2" s="1"/>
  <c r="H26" i="2"/>
  <c r="I26" i="2" s="1"/>
  <c r="H28" i="2"/>
  <c r="I28" i="2" s="1"/>
  <c r="H29" i="2"/>
  <c r="I29" i="2" s="1"/>
  <c r="H30" i="2"/>
  <c r="I30" i="2" s="1"/>
  <c r="H31" i="2"/>
  <c r="I31" i="2" s="1"/>
  <c r="H32" i="2"/>
  <c r="I32" i="2" s="1"/>
  <c r="H33" i="2"/>
  <c r="I33" i="2" s="1"/>
  <c r="H34" i="2"/>
  <c r="I34" i="2" s="1"/>
  <c r="H36" i="2"/>
  <c r="I36" i="2" s="1"/>
  <c r="H37" i="2"/>
  <c r="I37" i="2" s="1"/>
  <c r="H38" i="2"/>
  <c r="I38" i="2" s="1"/>
  <c r="H51" i="2"/>
  <c r="I51" i="2" s="1"/>
  <c r="H52" i="2"/>
  <c r="I52" i="2" s="1"/>
  <c r="H260" i="2"/>
  <c r="I260" i="2" s="1"/>
  <c r="H256" i="2"/>
  <c r="I256" i="2" s="1"/>
  <c r="H61" i="2"/>
  <c r="H66" i="2"/>
  <c r="I66" i="2" s="1"/>
  <c r="H64" i="2"/>
  <c r="I64" i="2" s="1"/>
  <c r="H270" i="2"/>
  <c r="I270" i="2" s="1"/>
  <c r="H65" i="2"/>
  <c r="I65" i="2" s="1"/>
  <c r="H77" i="2"/>
  <c r="I77" i="2" s="1"/>
  <c r="H78" i="2"/>
  <c r="I78" i="2" s="1"/>
  <c r="H79" i="2"/>
  <c r="I79" i="2" s="1"/>
  <c r="H80" i="2"/>
  <c r="I80" i="2" s="1"/>
  <c r="H81" i="2"/>
  <c r="I81" i="2" s="1"/>
  <c r="H82" i="2"/>
  <c r="I82" i="2" s="1"/>
  <c r="H83" i="2"/>
  <c r="I83" i="2" s="1"/>
  <c r="H85" i="2"/>
  <c r="I85" i="2" s="1"/>
  <c r="H86" i="2"/>
  <c r="I86" i="2" s="1"/>
  <c r="H90" i="2"/>
  <c r="I90" i="2" s="1"/>
  <c r="H91" i="2"/>
  <c r="I91" i="2" s="1"/>
  <c r="H92" i="2"/>
  <c r="I92" i="2" s="1"/>
  <c r="H93" i="2"/>
  <c r="I93" i="2" s="1"/>
  <c r="H94" i="2"/>
  <c r="I94" i="2" s="1"/>
  <c r="H95" i="2"/>
  <c r="I95" i="2" s="1"/>
  <c r="H96" i="2"/>
  <c r="I96" i="2" s="1"/>
  <c r="H104" i="2"/>
  <c r="I104" i="2" s="1"/>
  <c r="H105" i="2"/>
  <c r="I105" i="2" s="1"/>
  <c r="H107" i="2"/>
  <c r="I107" i="2" s="1"/>
  <c r="H108" i="2"/>
  <c r="I108" i="2" s="1"/>
  <c r="H109" i="2"/>
  <c r="I109" i="2" s="1"/>
  <c r="H111" i="2"/>
  <c r="I111" i="2" s="1"/>
  <c r="H113" i="2"/>
  <c r="I113" i="2" s="1"/>
  <c r="H115" i="2"/>
  <c r="I115" i="2" s="1"/>
  <c r="H116" i="2"/>
  <c r="I116" i="2" s="1"/>
  <c r="H120" i="2"/>
  <c r="I120" i="2" s="1"/>
  <c r="H121" i="2"/>
  <c r="I121" i="2" s="1"/>
  <c r="H122" i="2"/>
  <c r="I122" i="2" s="1"/>
  <c r="H130" i="2"/>
  <c r="I130" i="2" s="1"/>
  <c r="H147" i="2"/>
  <c r="I147" i="2" s="1"/>
  <c r="H148" i="2"/>
  <c r="I148" i="2" s="1"/>
  <c r="H149" i="2"/>
  <c r="I149" i="2" s="1"/>
  <c r="H150" i="2"/>
  <c r="I150" i="2" s="1"/>
  <c r="H151" i="2"/>
  <c r="I151" i="2" s="1"/>
  <c r="H152" i="2"/>
  <c r="I152" i="2" s="1"/>
  <c r="H153" i="2"/>
  <c r="I153" i="2" s="1"/>
  <c r="H145" i="2"/>
  <c r="I145" i="2" s="1"/>
  <c r="H316" i="2"/>
  <c r="I316" i="2" s="1"/>
  <c r="H146" i="2"/>
  <c r="I146" i="2" s="1"/>
  <c r="H2" i="2"/>
  <c r="I2" i="2" s="1"/>
  <c r="H6" i="2"/>
  <c r="I6" i="2" s="1"/>
  <c r="H3" i="2"/>
  <c r="I3" i="2" s="1"/>
  <c r="H10" i="2"/>
  <c r="I10" i="2" s="1"/>
  <c r="H15" i="2"/>
  <c r="H18" i="2"/>
  <c r="I18" i="2" s="1"/>
  <c r="H19" i="2"/>
  <c r="I19" i="2" s="1"/>
  <c r="H20" i="2"/>
  <c r="I20" i="2" s="1"/>
  <c r="H225" i="2"/>
  <c r="I225" i="2" s="1"/>
  <c r="H43" i="2"/>
  <c r="I43" i="2" s="1"/>
  <c r="H44" i="2"/>
  <c r="I44" i="2" s="1"/>
  <c r="H45" i="2"/>
  <c r="I45" i="2" s="1"/>
  <c r="H46" i="2"/>
  <c r="I46" i="2" s="1"/>
  <c r="H47" i="2"/>
  <c r="I47" i="2" s="1"/>
  <c r="H49" i="2"/>
  <c r="I49" i="2" s="1"/>
  <c r="H48" i="2"/>
  <c r="I48" i="2" s="1"/>
  <c r="H50" i="2"/>
  <c r="I50" i="2" s="1"/>
  <c r="H54" i="2"/>
  <c r="I54" i="2" s="1"/>
  <c r="H55" i="2"/>
  <c r="I55" i="2" s="1"/>
  <c r="H57" i="2"/>
  <c r="I57" i="2" s="1"/>
  <c r="H58" i="2"/>
  <c r="I58" i="2" s="1"/>
  <c r="H56" i="2"/>
  <c r="I56" i="2" s="1"/>
  <c r="H69" i="2"/>
  <c r="I69" i="2" s="1"/>
  <c r="H72" i="2"/>
  <c r="I72" i="2" s="1"/>
  <c r="H283" i="2"/>
  <c r="I283" i="2" s="1"/>
  <c r="H73" i="2"/>
  <c r="I73" i="2" s="1"/>
  <c r="H289" i="2"/>
  <c r="I289" i="2" s="1"/>
  <c r="H76" i="2"/>
  <c r="I76" i="2" s="1"/>
  <c r="H88" i="2"/>
  <c r="I88" i="2" s="1"/>
  <c r="H101" i="2"/>
  <c r="I101" i="2" s="1"/>
  <c r="H102" i="2"/>
  <c r="I102" i="2" s="1"/>
  <c r="H299" i="2"/>
  <c r="I299" i="2" s="1"/>
  <c r="H300" i="2"/>
  <c r="I300" i="2" s="1"/>
  <c r="H302" i="2"/>
  <c r="I302" i="2" s="1"/>
  <c r="H103" i="2"/>
  <c r="I103" i="2" s="1"/>
  <c r="H117" i="2"/>
  <c r="I117" i="2" s="1"/>
  <c r="H118" i="2"/>
  <c r="I118" i="2" s="1"/>
  <c r="H119" i="2"/>
  <c r="I119" i="2" s="1"/>
  <c r="H123" i="2"/>
  <c r="I123" i="2" s="1"/>
  <c r="H124" i="2"/>
  <c r="I124" i="2" s="1"/>
  <c r="H125" i="2"/>
  <c r="I125" i="2" s="1"/>
  <c r="H126" i="2"/>
  <c r="I126" i="2" s="1"/>
  <c r="H127" i="2"/>
  <c r="I127" i="2" s="1"/>
  <c r="H128" i="2"/>
  <c r="I128" i="2" s="1"/>
  <c r="H129" i="2"/>
  <c r="I129" i="2" s="1"/>
  <c r="H131" i="2"/>
  <c r="I131" i="2" s="1"/>
  <c r="H132" i="2"/>
  <c r="I132" i="2" s="1"/>
  <c r="H133" i="2"/>
  <c r="I133" i="2" s="1"/>
  <c r="H134" i="2"/>
  <c r="I134" i="2" s="1"/>
  <c r="H135" i="2"/>
  <c r="I135" i="2" s="1"/>
  <c r="H136" i="2"/>
  <c r="I136" i="2" s="1"/>
  <c r="H137" i="2"/>
  <c r="I137" i="2" s="1"/>
  <c r="H138" i="2"/>
  <c r="I138" i="2" s="1"/>
  <c r="H139" i="2"/>
  <c r="I139" i="2" s="1"/>
  <c r="H140" i="2"/>
  <c r="I140" i="2" s="1"/>
  <c r="H310" i="2"/>
  <c r="I310" i="2" s="1"/>
  <c r="H311" i="2"/>
  <c r="I311" i="2" s="1"/>
  <c r="H142" i="2"/>
  <c r="I142" i="2" s="1"/>
  <c r="H143" i="2"/>
  <c r="I143" i="2" s="1"/>
  <c r="H144" i="2"/>
  <c r="I144" i="2" s="1"/>
  <c r="H155" i="2"/>
  <c r="I155" i="2" s="1"/>
  <c r="H157" i="2"/>
  <c r="I157" i="2" s="1"/>
  <c r="H159" i="2"/>
  <c r="I159" i="2" s="1"/>
  <c r="H160" i="2"/>
  <c r="I160" i="2" s="1"/>
  <c r="H161" i="2"/>
  <c r="I161" i="2" s="1"/>
  <c r="H335" i="2"/>
  <c r="I335" i="2" s="1"/>
  <c r="H164" i="2"/>
  <c r="I164" i="2" s="1"/>
  <c r="H165" i="2"/>
  <c r="I165" i="2" s="1"/>
  <c r="H166" i="2"/>
  <c r="I166" i="2" s="1"/>
  <c r="H167" i="2"/>
  <c r="I167" i="2" s="1"/>
  <c r="H168" i="2"/>
  <c r="I168" i="2" s="1"/>
  <c r="H338" i="2"/>
  <c r="I338" i="2" s="1"/>
  <c r="F10" i="5"/>
  <c r="F11" i="5"/>
  <c r="F12" i="5"/>
  <c r="F13" i="5"/>
  <c r="F14" i="5"/>
  <c r="F19" i="5"/>
  <c r="M60" i="2" s="1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" i="5"/>
  <c r="L160" i="2" s="1"/>
  <c r="F4" i="5"/>
  <c r="F5" i="5"/>
  <c r="F6" i="5"/>
  <c r="L122" i="2" s="1"/>
  <c r="F8" i="5"/>
  <c r="F2" i="5"/>
  <c r="I15" i="2" l="1"/>
  <c r="P41" i="2"/>
  <c r="U41" i="2" s="1"/>
  <c r="O41" i="2"/>
  <c r="T41" i="2" s="1"/>
  <c r="L141" i="2"/>
  <c r="M141" i="2" s="1"/>
  <c r="L39" i="2"/>
  <c r="M39" i="2" s="1"/>
  <c r="L40" i="2"/>
  <c r="M40" i="2" s="1"/>
  <c r="L248" i="2"/>
  <c r="M248" i="2" s="1"/>
  <c r="L239" i="2"/>
  <c r="M239" i="2" s="1"/>
  <c r="L204" i="2"/>
  <c r="M204" i="2" s="1"/>
  <c r="L329" i="2"/>
  <c r="M329" i="2" s="1"/>
  <c r="L241" i="2"/>
  <c r="M241" i="2" s="1"/>
  <c r="L286" i="2"/>
  <c r="M286" i="2" s="1"/>
  <c r="L306" i="2"/>
  <c r="M306" i="2" s="1"/>
  <c r="L291" i="2"/>
  <c r="M291" i="2" s="1"/>
  <c r="L282" i="2"/>
  <c r="M282" i="2" s="1"/>
  <c r="L231" i="2"/>
  <c r="M231" i="2" s="1"/>
  <c r="L249" i="2"/>
  <c r="M249" i="2" s="1"/>
  <c r="Q41" i="2"/>
  <c r="V41" i="2" s="1"/>
  <c r="L12" i="2"/>
  <c r="M12" i="2" s="1"/>
  <c r="Q12" i="2" s="1"/>
  <c r="V12" i="2" s="1"/>
  <c r="L89" i="2"/>
  <c r="M89" i="2" s="1"/>
  <c r="L162" i="2"/>
  <c r="M162" i="2" s="1"/>
  <c r="L262" i="2"/>
  <c r="M262" i="2" s="1"/>
  <c r="L253" i="2"/>
  <c r="M253" i="2" s="1"/>
  <c r="L99" i="2"/>
  <c r="M99" i="2" s="1"/>
  <c r="N41" i="2"/>
  <c r="S41" i="2" s="1"/>
  <c r="R84" i="2"/>
  <c r="W84" i="2" s="1"/>
  <c r="O84" i="2"/>
  <c r="T84" i="2" s="1"/>
  <c r="P84" i="2"/>
  <c r="U84" i="2" s="1"/>
  <c r="N84" i="2"/>
  <c r="S84" i="2" s="1"/>
  <c r="Q84" i="2"/>
  <c r="V84" i="2" s="1"/>
  <c r="P114" i="2"/>
  <c r="U114" i="2" s="1"/>
  <c r="Q114" i="2"/>
  <c r="V114" i="2" s="1"/>
  <c r="O114" i="2"/>
  <c r="T114" i="2" s="1"/>
  <c r="N114" i="2"/>
  <c r="S114" i="2" s="1"/>
  <c r="R114" i="2"/>
  <c r="W114" i="2" s="1"/>
  <c r="R70" i="2"/>
  <c r="W70" i="2" s="1"/>
  <c r="Q70" i="2"/>
  <c r="V70" i="2" s="1"/>
  <c r="N70" i="2"/>
  <c r="S70" i="2" s="1"/>
  <c r="P70" i="2"/>
  <c r="U70" i="2" s="1"/>
  <c r="O70" i="2"/>
  <c r="T70" i="2" s="1"/>
  <c r="R60" i="2"/>
  <c r="W60" i="2" s="1"/>
  <c r="P60" i="2"/>
  <c r="U60" i="2" s="1"/>
  <c r="Q60" i="2"/>
  <c r="V60" i="2" s="1"/>
  <c r="N60" i="2"/>
  <c r="S60" i="2" s="1"/>
  <c r="O60" i="2"/>
  <c r="T60" i="2" s="1"/>
  <c r="R97" i="2"/>
  <c r="W97" i="2" s="1"/>
  <c r="P97" i="2"/>
  <c r="U97" i="2" s="1"/>
  <c r="Q97" i="2"/>
  <c r="V97" i="2" s="1"/>
  <c r="N97" i="2"/>
  <c r="S97" i="2" s="1"/>
  <c r="O97" i="2"/>
  <c r="T97" i="2" s="1"/>
  <c r="L58" i="2"/>
  <c r="M58" i="2" s="1"/>
  <c r="L61" i="2"/>
  <c r="M61" i="2" s="1"/>
  <c r="D153" i="24" s="1"/>
  <c r="L74" i="2"/>
  <c r="M74" i="2" s="1"/>
  <c r="L42" i="2"/>
  <c r="M42" i="2" s="1"/>
  <c r="L35" i="2"/>
  <c r="M35" i="2" s="1"/>
  <c r="L63" i="2"/>
  <c r="M63" i="2" s="1"/>
  <c r="L75" i="2"/>
  <c r="M75" i="2" s="1"/>
  <c r="L11" i="2"/>
  <c r="M11" i="2" s="1"/>
  <c r="L9" i="2"/>
  <c r="M9" i="2" s="1"/>
  <c r="L27" i="2"/>
  <c r="M27" i="2" s="1"/>
  <c r="L343" i="2"/>
  <c r="M343" i="2" s="1"/>
  <c r="L345" i="2"/>
  <c r="M345" i="2" s="1"/>
  <c r="L342" i="2"/>
  <c r="M342" i="2" s="1"/>
  <c r="L321" i="2"/>
  <c r="M321" i="2" s="1"/>
  <c r="L203" i="2"/>
  <c r="M203" i="2" s="1"/>
  <c r="L337" i="2"/>
  <c r="M337" i="2" s="1"/>
  <c r="L259" i="2"/>
  <c r="M259" i="2" s="1"/>
  <c r="L327" i="2"/>
  <c r="M327" i="2" s="1"/>
  <c r="L317" i="2"/>
  <c r="M317" i="2" s="1"/>
  <c r="L326" i="2"/>
  <c r="M326" i="2" s="1"/>
  <c r="L190" i="2"/>
  <c r="M190" i="2" s="1"/>
  <c r="L144" i="2"/>
  <c r="M144" i="2" s="1"/>
  <c r="L68" i="2"/>
  <c r="M68" i="2" s="1"/>
  <c r="I8" i="2"/>
  <c r="I61" i="2"/>
  <c r="L263" i="2"/>
  <c r="M263" i="2" s="1"/>
  <c r="L185" i="2"/>
  <c r="M185" i="2" s="1"/>
  <c r="M160" i="2"/>
  <c r="M122" i="2"/>
  <c r="L66" i="2"/>
  <c r="M66" i="2" s="1"/>
  <c r="L67" i="2"/>
  <c r="M67" i="2" s="1"/>
  <c r="L191" i="2"/>
  <c r="M191" i="2" s="1"/>
  <c r="L251" i="2"/>
  <c r="M251" i="2" s="1"/>
  <c r="L333" i="2"/>
  <c r="M333" i="2" s="1"/>
  <c r="L284" i="2"/>
  <c r="M284" i="2" s="1"/>
  <c r="D214" i="24" s="1"/>
  <c r="L193" i="2"/>
  <c r="M193" i="2" s="1"/>
  <c r="L265" i="2"/>
  <c r="M265" i="2" s="1"/>
  <c r="L112" i="2"/>
  <c r="M112" i="2" s="1"/>
  <c r="L87" i="2"/>
  <c r="M87" i="2" s="1"/>
  <c r="L53" i="2"/>
  <c r="M53" i="2" s="1"/>
  <c r="L106" i="2"/>
  <c r="M106" i="2" s="1"/>
  <c r="L98" i="2"/>
  <c r="M98" i="2" s="1"/>
  <c r="D296" i="24" s="1"/>
  <c r="H296" i="24" s="1"/>
  <c r="I296" i="24" s="1"/>
  <c r="L25" i="2"/>
  <c r="M25" i="2" s="1"/>
  <c r="L52" i="2"/>
  <c r="M52" i="2" s="1"/>
  <c r="L166" i="2"/>
  <c r="M166" i="2" s="1"/>
  <c r="L164" i="2"/>
  <c r="M164" i="2" s="1"/>
  <c r="L157" i="2"/>
  <c r="M157" i="2" s="1"/>
  <c r="L6" i="2"/>
  <c r="M6" i="2" s="1"/>
  <c r="L71" i="2"/>
  <c r="M71" i="2" s="1"/>
  <c r="L127" i="2"/>
  <c r="M127" i="2" s="1"/>
  <c r="L335" i="2"/>
  <c r="M335" i="2" s="1"/>
  <c r="L328" i="2"/>
  <c r="M328" i="2" s="1"/>
  <c r="L325" i="2"/>
  <c r="M325" i="2" s="1"/>
  <c r="L311" i="2"/>
  <c r="M311" i="2" s="1"/>
  <c r="L136" i="2"/>
  <c r="M136" i="2" s="1"/>
  <c r="L128" i="2"/>
  <c r="M128" i="2" s="1"/>
  <c r="L303" i="2"/>
  <c r="M303" i="2" s="1"/>
  <c r="L289" i="2"/>
  <c r="M289" i="2" s="1"/>
  <c r="L43" i="2"/>
  <c r="M43" i="2" s="1"/>
  <c r="L36" i="2"/>
  <c r="M36" i="2" s="1"/>
  <c r="L221" i="2"/>
  <c r="M221" i="2" s="1"/>
  <c r="L20" i="2"/>
  <c r="M20" i="2" s="1"/>
  <c r="L201" i="2"/>
  <c r="M201" i="2" s="1"/>
  <c r="L187" i="2"/>
  <c r="M187" i="2" s="1"/>
  <c r="L338" i="2"/>
  <c r="M338" i="2" s="1"/>
  <c r="L332" i="2"/>
  <c r="M332" i="2" s="1"/>
  <c r="L153" i="2"/>
  <c r="M153" i="2" s="1"/>
  <c r="L324" i="2"/>
  <c r="M324" i="2" s="1"/>
  <c r="L310" i="2"/>
  <c r="M310" i="2" s="1"/>
  <c r="L135" i="2"/>
  <c r="M135" i="2" s="1"/>
  <c r="L302" i="2"/>
  <c r="M302" i="2" s="1"/>
  <c r="L96" i="2"/>
  <c r="M96" i="2" s="1"/>
  <c r="L255" i="2"/>
  <c r="M255" i="2" s="1"/>
  <c r="L34" i="2"/>
  <c r="M34" i="2" s="1"/>
  <c r="D100" i="24" s="1"/>
  <c r="L218" i="2"/>
  <c r="M218" i="2" s="1"/>
  <c r="L18" i="2"/>
  <c r="M18" i="2" s="1"/>
  <c r="L189" i="2"/>
  <c r="M189" i="2" s="1"/>
  <c r="L179" i="2"/>
  <c r="M179" i="2" s="1"/>
  <c r="D19" i="24" s="1"/>
  <c r="L165" i="2"/>
  <c r="M165" i="2" s="1"/>
  <c r="L331" i="2"/>
  <c r="M331" i="2" s="1"/>
  <c r="L150" i="2"/>
  <c r="M150" i="2" s="1"/>
  <c r="L320" i="2"/>
  <c r="M320" i="2" s="1"/>
  <c r="L134" i="2"/>
  <c r="M134" i="2" s="1"/>
  <c r="L125" i="2"/>
  <c r="M125" i="2" s="1"/>
  <c r="L93" i="2"/>
  <c r="M93" i="2" s="1"/>
  <c r="L283" i="2"/>
  <c r="M283" i="2" s="1"/>
  <c r="L49" i="2"/>
  <c r="M49" i="2" s="1"/>
  <c r="L223" i="2"/>
  <c r="M223" i="2" s="1"/>
  <c r="L149" i="2"/>
  <c r="M149" i="2" s="1"/>
  <c r="L256" i="2"/>
  <c r="M256" i="2" s="1"/>
  <c r="L292" i="2"/>
  <c r="M292" i="2" s="1"/>
  <c r="L80" i="2"/>
  <c r="M80" i="2" s="1"/>
  <c r="L46" i="2"/>
  <c r="M46" i="2" s="1"/>
  <c r="L38" i="2"/>
  <c r="M38" i="2" s="1"/>
  <c r="L33" i="2"/>
  <c r="M33" i="2" s="1"/>
  <c r="L224" i="2"/>
  <c r="M224" i="2" s="1"/>
  <c r="L14" i="2"/>
  <c r="M14" i="2" s="1"/>
  <c r="L180" i="2"/>
  <c r="M180" i="2" s="1"/>
  <c r="L69" i="2"/>
  <c r="M69" i="2" s="1"/>
  <c r="D171" i="24" s="1"/>
  <c r="L92" i="2"/>
  <c r="M92" i="2" s="1"/>
  <c r="L79" i="2"/>
  <c r="M79" i="2" s="1"/>
  <c r="D195" i="24" s="1"/>
  <c r="L54" i="2"/>
  <c r="M54" i="2" s="1"/>
  <c r="L130" i="2"/>
  <c r="M130" i="2" s="1"/>
  <c r="C129" i="25" s="1"/>
  <c r="D129" i="25" s="1"/>
  <c r="E129" i="25" s="1"/>
  <c r="L90" i="2"/>
  <c r="M90" i="2" s="1"/>
  <c r="L137" i="2"/>
  <c r="M137" i="2" s="1"/>
  <c r="L131" i="2"/>
  <c r="M131" i="2" s="1"/>
  <c r="L102" i="2"/>
  <c r="M102" i="2" s="1"/>
  <c r="L95" i="2"/>
  <c r="M95" i="2" s="1"/>
  <c r="L85" i="2"/>
  <c r="M85" i="2" s="1"/>
  <c r="L45" i="2"/>
  <c r="M45" i="2" s="1"/>
  <c r="L31" i="2"/>
  <c r="M31" i="2" s="1"/>
  <c r="L8" i="2"/>
  <c r="M8" i="2" s="1"/>
  <c r="L5" i="2"/>
  <c r="M5" i="2" s="1"/>
  <c r="D4" i="24" s="1"/>
  <c r="L13" i="2"/>
  <c r="M13" i="2" s="1"/>
  <c r="L23" i="2"/>
  <c r="M23" i="2" s="1"/>
  <c r="L72" i="2"/>
  <c r="M72" i="2" s="1"/>
  <c r="L22" i="2"/>
  <c r="M22" i="2" s="1"/>
  <c r="M57" i="2"/>
  <c r="L65" i="2"/>
  <c r="M65" i="2" s="1"/>
  <c r="L109" i="2"/>
  <c r="M109" i="2" s="1"/>
  <c r="L121" i="2"/>
  <c r="M121" i="2" s="1"/>
  <c r="L120" i="2"/>
  <c r="M120" i="2" s="1"/>
  <c r="L113" i="2"/>
  <c r="M113" i="2" s="1"/>
  <c r="L104" i="2"/>
  <c r="M104" i="2" s="1"/>
  <c r="L115" i="2"/>
  <c r="M115" i="2" s="1"/>
  <c r="L159" i="2"/>
  <c r="L100" i="2"/>
  <c r="M100" i="2" s="1"/>
  <c r="L105" i="2"/>
  <c r="M105" i="2" s="1"/>
  <c r="L116" i="2"/>
  <c r="M116" i="2" s="1"/>
  <c r="L24" i="2"/>
  <c r="M24" i="2" s="1"/>
  <c r="L111" i="2"/>
  <c r="M111" i="2" s="1"/>
  <c r="L117" i="2"/>
  <c r="M117" i="2" s="1"/>
  <c r="L118" i="2"/>
  <c r="M118" i="2" s="1"/>
  <c r="D240" i="24" s="1"/>
  <c r="H240" i="24" s="1"/>
  <c r="I240" i="24" s="1"/>
  <c r="L73" i="2"/>
  <c r="M73" i="2" s="1"/>
  <c r="L81" i="2"/>
  <c r="M81" i="2" s="1"/>
  <c r="L103" i="2"/>
  <c r="M103" i="2" s="1"/>
  <c r="L145" i="2"/>
  <c r="M145" i="2" s="1"/>
  <c r="L47" i="2"/>
  <c r="M47" i="2" s="1"/>
  <c r="L78" i="2"/>
  <c r="M78" i="2" s="1"/>
  <c r="L88" i="2"/>
  <c r="M88" i="2" s="1"/>
  <c r="L168" i="2"/>
  <c r="M168" i="2" s="1"/>
  <c r="L83" i="2"/>
  <c r="M83" i="2" s="1"/>
  <c r="L146" i="2"/>
  <c r="M146" i="2" s="1"/>
  <c r="L64" i="2"/>
  <c r="M64" i="2" s="1"/>
  <c r="L50" i="2"/>
  <c r="M50" i="2" s="1"/>
  <c r="L15" i="2"/>
  <c r="L48" i="2"/>
  <c r="M48" i="2" s="1"/>
  <c r="L152" i="2"/>
  <c r="M152" i="2" s="1"/>
  <c r="L148" i="2"/>
  <c r="M148" i="2" s="1"/>
  <c r="L323" i="2"/>
  <c r="M323" i="2" s="1"/>
  <c r="L316" i="2"/>
  <c r="M316" i="2" s="1"/>
  <c r="L143" i="2"/>
  <c r="M143" i="2" s="1"/>
  <c r="L140" i="2"/>
  <c r="M140" i="2" s="1"/>
  <c r="L260" i="2"/>
  <c r="M260" i="2" s="1"/>
  <c r="L308" i="2"/>
  <c r="M308" i="2" s="1"/>
  <c r="L133" i="2"/>
  <c r="M133" i="2" s="1"/>
  <c r="L124" i="2"/>
  <c r="M124" i="2" s="1"/>
  <c r="L305" i="2"/>
  <c r="M305" i="2" s="1"/>
  <c r="L119" i="2"/>
  <c r="M119" i="2" s="1"/>
  <c r="D352" i="24" s="1"/>
  <c r="L108" i="2"/>
  <c r="M108" i="2" s="1"/>
  <c r="L300" i="2"/>
  <c r="M300" i="2" s="1"/>
  <c r="L101" i="2"/>
  <c r="M101" i="2" s="1"/>
  <c r="L94" i="2"/>
  <c r="M94" i="2" s="1"/>
  <c r="D198" i="24" s="1"/>
  <c r="H198" i="24" s="1"/>
  <c r="I198" i="24" s="1"/>
  <c r="L82" i="2"/>
  <c r="M82" i="2" s="1"/>
  <c r="L280" i="2"/>
  <c r="M280" i="2" s="1"/>
  <c r="L270" i="2"/>
  <c r="M270" i="2" s="1"/>
  <c r="L247" i="2"/>
  <c r="M247" i="2" s="1"/>
  <c r="L44" i="2"/>
  <c r="M44" i="2" s="1"/>
  <c r="L243" i="2"/>
  <c r="M243" i="2" s="1"/>
  <c r="L37" i="2"/>
  <c r="M37" i="2" s="1"/>
  <c r="L240" i="2"/>
  <c r="M240" i="2" s="1"/>
  <c r="L230" i="2"/>
  <c r="M230" i="2" s="1"/>
  <c r="L217" i="2"/>
  <c r="M217" i="2" s="1"/>
  <c r="L30" i="2"/>
  <c r="M30" i="2" s="1"/>
  <c r="L211" i="2"/>
  <c r="M211" i="2" s="1"/>
  <c r="L26" i="2"/>
  <c r="M26" i="2" s="1"/>
  <c r="L17" i="2"/>
  <c r="M17" i="2" s="1"/>
  <c r="L10" i="2"/>
  <c r="M10" i="2" s="1"/>
  <c r="L177" i="2"/>
  <c r="M177" i="2" s="1"/>
  <c r="L2" i="2"/>
  <c r="M2" i="2" s="1"/>
  <c r="L167" i="2"/>
  <c r="M167" i="2" s="1"/>
  <c r="D313" i="24" s="1"/>
  <c r="L336" i="2"/>
  <c r="M336" i="2" s="1"/>
  <c r="L161" i="2"/>
  <c r="M161" i="2" s="1"/>
  <c r="L151" i="2"/>
  <c r="M151" i="2" s="1"/>
  <c r="L147" i="2"/>
  <c r="M147" i="2" s="1"/>
  <c r="L322" i="2"/>
  <c r="M322" i="2" s="1"/>
  <c r="L142" i="2"/>
  <c r="M142" i="2" s="1"/>
  <c r="L139" i="2"/>
  <c r="M139" i="2" s="1"/>
  <c r="L138" i="2"/>
  <c r="M138" i="2" s="1"/>
  <c r="L307" i="2"/>
  <c r="M307" i="2" s="1"/>
  <c r="L132" i="2"/>
  <c r="M132" i="2" s="1"/>
  <c r="L129" i="2"/>
  <c r="M129" i="2" s="1"/>
  <c r="L126" i="2"/>
  <c r="M126" i="2" s="1"/>
  <c r="L123" i="2"/>
  <c r="M123" i="2" s="1"/>
  <c r="L107" i="2"/>
  <c r="M107" i="2" s="1"/>
  <c r="L299" i="2"/>
  <c r="M299" i="2" s="1"/>
  <c r="L293" i="2"/>
  <c r="M293" i="2" s="1"/>
  <c r="L91" i="2"/>
  <c r="M91" i="2" s="1"/>
  <c r="L86" i="2"/>
  <c r="M86" i="2" s="1"/>
  <c r="L77" i="2"/>
  <c r="M77" i="2" s="1"/>
  <c r="L76" i="2"/>
  <c r="M76" i="2" s="1"/>
  <c r="L279" i="2"/>
  <c r="M279" i="2" s="1"/>
  <c r="L254" i="2"/>
  <c r="M254" i="2" s="1"/>
  <c r="L56" i="2"/>
  <c r="M56" i="2" s="1"/>
  <c r="L55" i="2"/>
  <c r="M55" i="2" s="1"/>
  <c r="L246" i="2"/>
  <c r="M246" i="2" s="1"/>
  <c r="L51" i="2"/>
  <c r="M51" i="2" s="1"/>
  <c r="L242" i="2"/>
  <c r="M242" i="2" s="1"/>
  <c r="L32" i="2"/>
  <c r="M32" i="2" s="1"/>
  <c r="L225" i="2"/>
  <c r="M225" i="2" s="1"/>
  <c r="L29" i="2"/>
  <c r="M29" i="2" s="1"/>
  <c r="L28" i="2"/>
  <c r="M28" i="2" s="1"/>
  <c r="L210" i="2"/>
  <c r="M210" i="2" s="1"/>
  <c r="L21" i="2"/>
  <c r="M21" i="2" s="1"/>
  <c r="L19" i="2"/>
  <c r="M19" i="2" s="1"/>
  <c r="L16" i="2"/>
  <c r="M16" i="2" s="1"/>
  <c r="D54" i="24" s="1"/>
  <c r="L202" i="2"/>
  <c r="M202" i="2" s="1"/>
  <c r="L194" i="2"/>
  <c r="M194" i="2" s="1"/>
  <c r="L188" i="2"/>
  <c r="M188" i="2" s="1"/>
  <c r="L3" i="2"/>
  <c r="M3" i="2" s="1"/>
  <c r="L176" i="2"/>
  <c r="M176" i="2" s="1"/>
  <c r="D113" i="24" l="1"/>
  <c r="D167" i="24"/>
  <c r="H167" i="24" s="1"/>
  <c r="I167" i="24" s="1"/>
  <c r="B24" i="6"/>
  <c r="R310" i="2"/>
  <c r="N310" i="2"/>
  <c r="O310" i="2"/>
  <c r="P310" i="2"/>
  <c r="Q310" i="2"/>
  <c r="N289" i="2"/>
  <c r="O289" i="2"/>
  <c r="P289" i="2"/>
  <c r="Q289" i="2"/>
  <c r="R289" i="2"/>
  <c r="N333" i="2"/>
  <c r="S333" i="2" s="1"/>
  <c r="O333" i="2"/>
  <c r="T333" i="2" s="1"/>
  <c r="P333" i="2"/>
  <c r="Q333" i="2"/>
  <c r="R333" i="2"/>
  <c r="Q262" i="2"/>
  <c r="V262" i="2" s="1"/>
  <c r="R262" i="2"/>
  <c r="N262" i="2"/>
  <c r="S262" i="2" s="1"/>
  <c r="O262" i="2"/>
  <c r="T262" i="2" s="1"/>
  <c r="P262" i="2"/>
  <c r="N286" i="2"/>
  <c r="S286" i="2" s="1"/>
  <c r="R286" i="2"/>
  <c r="W286" i="2" s="1"/>
  <c r="O286" i="2"/>
  <c r="T286" i="2" s="1"/>
  <c r="P286" i="2"/>
  <c r="U286" i="2" s="1"/>
  <c r="Q286" i="2"/>
  <c r="O211" i="2"/>
  <c r="P211" i="2"/>
  <c r="Q211" i="2"/>
  <c r="R211" i="2"/>
  <c r="N211" i="2"/>
  <c r="F37" i="6"/>
  <c r="N316" i="2"/>
  <c r="O316" i="2"/>
  <c r="P316" i="2"/>
  <c r="Q316" i="2"/>
  <c r="R316" i="2"/>
  <c r="W316" i="2" s="1"/>
  <c r="Q292" i="2"/>
  <c r="R292" i="2"/>
  <c r="N292" i="2"/>
  <c r="O292" i="2"/>
  <c r="T292" i="2" s="1"/>
  <c r="P292" i="2"/>
  <c r="U292" i="2" s="1"/>
  <c r="N331" i="2"/>
  <c r="S331" i="2" s="1"/>
  <c r="O331" i="2"/>
  <c r="T331" i="2" s="1"/>
  <c r="P331" i="2"/>
  <c r="U331" i="2" s="1"/>
  <c r="Q331" i="2"/>
  <c r="V331" i="2" s="1"/>
  <c r="R331" i="2"/>
  <c r="W331" i="2" s="1"/>
  <c r="N324" i="2"/>
  <c r="S324" i="2" s="1"/>
  <c r="O324" i="2"/>
  <c r="T324" i="2" s="1"/>
  <c r="P324" i="2"/>
  <c r="Q324" i="2"/>
  <c r="R324" i="2"/>
  <c r="N303" i="2"/>
  <c r="R303" i="2"/>
  <c r="Q303" i="2"/>
  <c r="O303" i="2"/>
  <c r="T303" i="2" s="1"/>
  <c r="P303" i="2"/>
  <c r="N251" i="2"/>
  <c r="Q251" i="2"/>
  <c r="V251" i="2" s="1"/>
  <c r="O251" i="2"/>
  <c r="T251" i="2" s="1"/>
  <c r="P251" i="2"/>
  <c r="U251" i="2" s="1"/>
  <c r="R251" i="2"/>
  <c r="R190" i="2"/>
  <c r="N190" i="2"/>
  <c r="O190" i="2"/>
  <c r="P190" i="2"/>
  <c r="Q190" i="2"/>
  <c r="R241" i="2"/>
  <c r="W241" i="2" s="1"/>
  <c r="Q241" i="2"/>
  <c r="V241" i="2" s="1"/>
  <c r="N241" i="2"/>
  <c r="S241" i="2" s="1"/>
  <c r="O241" i="2"/>
  <c r="T241" i="2" s="1"/>
  <c r="P241" i="2"/>
  <c r="U241" i="2" s="1"/>
  <c r="R322" i="2"/>
  <c r="W322" i="2" s="1"/>
  <c r="N322" i="2"/>
  <c r="O322" i="2"/>
  <c r="Q322" i="2"/>
  <c r="P322" i="2"/>
  <c r="R323" i="2"/>
  <c r="P323" i="2"/>
  <c r="O323" i="2"/>
  <c r="T323" i="2" s="1"/>
  <c r="Q323" i="2"/>
  <c r="V323" i="2" s="1"/>
  <c r="N323" i="2"/>
  <c r="S323" i="2" s="1"/>
  <c r="P256" i="2"/>
  <c r="U256" i="2" s="1"/>
  <c r="Q256" i="2"/>
  <c r="V256" i="2" s="1"/>
  <c r="R256" i="2"/>
  <c r="W256" i="2" s="1"/>
  <c r="N256" i="2"/>
  <c r="O256" i="2"/>
  <c r="N191" i="2"/>
  <c r="O191" i="2"/>
  <c r="P191" i="2"/>
  <c r="Q191" i="2"/>
  <c r="R191" i="2"/>
  <c r="W191" i="2" s="1"/>
  <c r="O326" i="2"/>
  <c r="P326" i="2"/>
  <c r="Q326" i="2"/>
  <c r="V326" i="2" s="1"/>
  <c r="R326" i="2"/>
  <c r="W326" i="2" s="1"/>
  <c r="N326" i="2"/>
  <c r="S326" i="2" s="1"/>
  <c r="P329" i="2"/>
  <c r="N329" i="2"/>
  <c r="O329" i="2"/>
  <c r="R329" i="2"/>
  <c r="Q329" i="2"/>
  <c r="R293" i="2"/>
  <c r="W293" i="2" s="1"/>
  <c r="Q293" i="2"/>
  <c r="V293" i="2" s="1"/>
  <c r="N293" i="2"/>
  <c r="O293" i="2"/>
  <c r="P293" i="2"/>
  <c r="U293" i="2" s="1"/>
  <c r="N179" i="2"/>
  <c r="S179" i="2" s="1"/>
  <c r="O179" i="2"/>
  <c r="T179" i="2" s="1"/>
  <c r="P179" i="2"/>
  <c r="Q179" i="2"/>
  <c r="R179" i="2"/>
  <c r="N332" i="2"/>
  <c r="Q332" i="2"/>
  <c r="R332" i="2"/>
  <c r="O332" i="2"/>
  <c r="T332" i="2" s="1"/>
  <c r="P332" i="2"/>
  <c r="N317" i="2"/>
  <c r="O317" i="2"/>
  <c r="T317" i="2" s="1"/>
  <c r="P317" i="2"/>
  <c r="U317" i="2" s="1"/>
  <c r="Q317" i="2"/>
  <c r="V317" i="2" s="1"/>
  <c r="R317" i="2"/>
  <c r="N204" i="2"/>
  <c r="O204" i="2"/>
  <c r="P204" i="2"/>
  <c r="U204" i="2" s="1"/>
  <c r="Q204" i="2"/>
  <c r="V204" i="2" s="1"/>
  <c r="R204" i="2"/>
  <c r="N242" i="2"/>
  <c r="O242" i="2"/>
  <c r="P242" i="2"/>
  <c r="Q242" i="2"/>
  <c r="R242" i="2"/>
  <c r="W242" i="2" s="1"/>
  <c r="N230" i="2"/>
  <c r="S230" i="2" s="1"/>
  <c r="O230" i="2"/>
  <c r="P230" i="2"/>
  <c r="Q230" i="2"/>
  <c r="R230" i="2"/>
  <c r="P223" i="2"/>
  <c r="U223" i="2" s="1"/>
  <c r="Q223" i="2"/>
  <c r="R223" i="2"/>
  <c r="O223" i="2"/>
  <c r="N223" i="2"/>
  <c r="S223" i="2" s="1"/>
  <c r="P189" i="2"/>
  <c r="N189" i="2"/>
  <c r="S189" i="2" s="1"/>
  <c r="O189" i="2"/>
  <c r="T189" i="2" s="1"/>
  <c r="Q189" i="2"/>
  <c r="R189" i="2"/>
  <c r="Q338" i="2"/>
  <c r="N338" i="2"/>
  <c r="R338" i="2"/>
  <c r="O338" i="2"/>
  <c r="P338" i="2"/>
  <c r="U338" i="2" s="1"/>
  <c r="N311" i="2"/>
  <c r="O311" i="2"/>
  <c r="P311" i="2"/>
  <c r="U311" i="2" s="1"/>
  <c r="Q311" i="2"/>
  <c r="V311" i="2" s="1"/>
  <c r="R311" i="2"/>
  <c r="W311" i="2" s="1"/>
  <c r="Q327" i="2"/>
  <c r="P327" i="2"/>
  <c r="N327" i="2"/>
  <c r="O327" i="2"/>
  <c r="R327" i="2"/>
  <c r="W327" i="2" s="1"/>
  <c r="P239" i="2"/>
  <c r="U239" i="2" s="1"/>
  <c r="Q239" i="2"/>
  <c r="V239" i="2" s="1"/>
  <c r="R239" i="2"/>
  <c r="W239" i="2" s="1"/>
  <c r="N239" i="2"/>
  <c r="S239" i="2" s="1"/>
  <c r="O239" i="2"/>
  <c r="T239" i="2" s="1"/>
  <c r="Q300" i="2"/>
  <c r="V300" i="2" s="1"/>
  <c r="R300" i="2"/>
  <c r="W300" i="2" s="1"/>
  <c r="N300" i="2"/>
  <c r="O300" i="2"/>
  <c r="P300" i="2"/>
  <c r="N240" i="2"/>
  <c r="S240" i="2" s="1"/>
  <c r="O240" i="2"/>
  <c r="T240" i="2" s="1"/>
  <c r="Q240" i="2"/>
  <c r="P240" i="2"/>
  <c r="U240" i="2" s="1"/>
  <c r="R240" i="2"/>
  <c r="P187" i="2"/>
  <c r="Q187" i="2"/>
  <c r="R187" i="2"/>
  <c r="W187" i="2" s="1"/>
  <c r="N187" i="2"/>
  <c r="S187" i="2" s="1"/>
  <c r="O187" i="2"/>
  <c r="O325" i="2"/>
  <c r="N325" i="2"/>
  <c r="P325" i="2"/>
  <c r="Q325" i="2"/>
  <c r="R325" i="2"/>
  <c r="N259" i="2"/>
  <c r="S259" i="2" s="1"/>
  <c r="O259" i="2"/>
  <c r="T259" i="2" s="1"/>
  <c r="P259" i="2"/>
  <c r="U259" i="2" s="1"/>
  <c r="Q259" i="2"/>
  <c r="V259" i="2" s="1"/>
  <c r="R259" i="2"/>
  <c r="W259" i="2" s="1"/>
  <c r="O249" i="2"/>
  <c r="T249" i="2" s="1"/>
  <c r="N249" i="2"/>
  <c r="R249" i="2"/>
  <c r="W249" i="2" s="1"/>
  <c r="P249" i="2"/>
  <c r="Q249" i="2"/>
  <c r="Q248" i="2"/>
  <c r="V248" i="2" s="1"/>
  <c r="R248" i="2"/>
  <c r="W248" i="2" s="1"/>
  <c r="N248" i="2"/>
  <c r="S248" i="2" s="1"/>
  <c r="O248" i="2"/>
  <c r="T248" i="2" s="1"/>
  <c r="P248" i="2"/>
  <c r="U248" i="2" s="1"/>
  <c r="R188" i="2"/>
  <c r="W188" i="2" s="1"/>
  <c r="N188" i="2"/>
  <c r="S188" i="2" s="1"/>
  <c r="Q188" i="2"/>
  <c r="V188" i="2" s="1"/>
  <c r="O188" i="2"/>
  <c r="P188" i="2"/>
  <c r="O246" i="2"/>
  <c r="P246" i="2"/>
  <c r="Q246" i="2"/>
  <c r="R246" i="2"/>
  <c r="N246" i="2"/>
  <c r="E24" i="6"/>
  <c r="N305" i="2"/>
  <c r="S305" i="2" s="1"/>
  <c r="O305" i="2"/>
  <c r="T305" i="2" s="1"/>
  <c r="P305" i="2"/>
  <c r="U305" i="2" s="1"/>
  <c r="Q305" i="2"/>
  <c r="V305" i="2" s="1"/>
  <c r="R305" i="2"/>
  <c r="P180" i="2"/>
  <c r="O180" i="2"/>
  <c r="N180" i="2"/>
  <c r="Q180" i="2"/>
  <c r="V180" i="2" s="1"/>
  <c r="R180" i="2"/>
  <c r="W180" i="2" s="1"/>
  <c r="N218" i="2"/>
  <c r="S218" i="2" s="1"/>
  <c r="O218" i="2"/>
  <c r="T218" i="2" s="1"/>
  <c r="P218" i="2"/>
  <c r="U218" i="2" s="1"/>
  <c r="Q218" i="2"/>
  <c r="V218" i="2" s="1"/>
  <c r="R218" i="2"/>
  <c r="W218" i="2" s="1"/>
  <c r="Q201" i="2"/>
  <c r="V201" i="2" s="1"/>
  <c r="R201" i="2"/>
  <c r="P201" i="2"/>
  <c r="N201" i="2"/>
  <c r="O201" i="2"/>
  <c r="Q328" i="2"/>
  <c r="V328" i="2" s="1"/>
  <c r="R328" i="2"/>
  <c r="W328" i="2" s="1"/>
  <c r="N328" i="2"/>
  <c r="S328" i="2" s="1"/>
  <c r="O328" i="2"/>
  <c r="T328" i="2" s="1"/>
  <c r="P328" i="2"/>
  <c r="U328" i="2" s="1"/>
  <c r="R337" i="2"/>
  <c r="W337" i="2" s="1"/>
  <c r="Q337" i="2"/>
  <c r="V337" i="2" s="1"/>
  <c r="P337" i="2"/>
  <c r="U337" i="2" s="1"/>
  <c r="N337" i="2"/>
  <c r="O337" i="2"/>
  <c r="N243" i="2"/>
  <c r="O243" i="2"/>
  <c r="R243" i="2"/>
  <c r="W243" i="2" s="1"/>
  <c r="Q243" i="2"/>
  <c r="V243" i="2" s="1"/>
  <c r="P243" i="2"/>
  <c r="U243" i="2" s="1"/>
  <c r="O283" i="2"/>
  <c r="T283" i="2" s="1"/>
  <c r="P283" i="2"/>
  <c r="Q283" i="2"/>
  <c r="R283" i="2"/>
  <c r="W283" i="2" s="1"/>
  <c r="N283" i="2"/>
  <c r="S283" i="2" s="1"/>
  <c r="O335" i="2"/>
  <c r="P335" i="2"/>
  <c r="N335" i="2"/>
  <c r="Q335" i="2"/>
  <c r="R335" i="2"/>
  <c r="Q185" i="2"/>
  <c r="R185" i="2"/>
  <c r="W185" i="2" s="1"/>
  <c r="N185" i="2"/>
  <c r="S185" i="2" s="1"/>
  <c r="O185" i="2"/>
  <c r="T185" i="2" s="1"/>
  <c r="P185" i="2"/>
  <c r="U185" i="2" s="1"/>
  <c r="N203" i="2"/>
  <c r="S203" i="2" s="1"/>
  <c r="O203" i="2"/>
  <c r="T203" i="2" s="1"/>
  <c r="R203" i="2"/>
  <c r="P203" i="2"/>
  <c r="Q203" i="2"/>
  <c r="R231" i="2"/>
  <c r="N231" i="2"/>
  <c r="S231" i="2" s="1"/>
  <c r="O231" i="2"/>
  <c r="T231" i="2" s="1"/>
  <c r="P231" i="2"/>
  <c r="U231" i="2" s="1"/>
  <c r="Q231" i="2"/>
  <c r="V231" i="2" s="1"/>
  <c r="R225" i="2"/>
  <c r="W225" i="2" s="1"/>
  <c r="N225" i="2"/>
  <c r="S225" i="2" s="1"/>
  <c r="O225" i="2"/>
  <c r="T225" i="2" s="1"/>
  <c r="P225" i="2"/>
  <c r="U225" i="2" s="1"/>
  <c r="Q225" i="2"/>
  <c r="P224" i="2"/>
  <c r="O224" i="2"/>
  <c r="N224" i="2"/>
  <c r="Q224" i="2"/>
  <c r="V224" i="2" s="1"/>
  <c r="R224" i="2"/>
  <c r="W224" i="2" s="1"/>
  <c r="N255" i="2"/>
  <c r="S255" i="2" s="1"/>
  <c r="O255" i="2"/>
  <c r="T255" i="2" s="1"/>
  <c r="P255" i="2"/>
  <c r="Q255" i="2"/>
  <c r="V255" i="2" s="1"/>
  <c r="R255" i="2"/>
  <c r="D220" i="24"/>
  <c r="N221" i="2"/>
  <c r="O221" i="2"/>
  <c r="P221" i="2"/>
  <c r="Q221" i="2"/>
  <c r="R221" i="2"/>
  <c r="W221" i="2" s="1"/>
  <c r="P263" i="2"/>
  <c r="N263" i="2"/>
  <c r="Q263" i="2"/>
  <c r="V263" i="2" s="1"/>
  <c r="O263" i="2"/>
  <c r="R263" i="2"/>
  <c r="P321" i="2"/>
  <c r="U321" i="2" s="1"/>
  <c r="Q321" i="2"/>
  <c r="V321" i="2" s="1"/>
  <c r="R321" i="2"/>
  <c r="O321" i="2"/>
  <c r="N321" i="2"/>
  <c r="Q282" i="2"/>
  <c r="V282" i="2" s="1"/>
  <c r="P282" i="2"/>
  <c r="U282" i="2" s="1"/>
  <c r="N282" i="2"/>
  <c r="S282" i="2" s="1"/>
  <c r="O282" i="2"/>
  <c r="T282" i="2" s="1"/>
  <c r="R282" i="2"/>
  <c r="W282" i="2" s="1"/>
  <c r="O254" i="2"/>
  <c r="T254" i="2" s="1"/>
  <c r="P254" i="2"/>
  <c r="U254" i="2" s="1"/>
  <c r="Q254" i="2"/>
  <c r="V254" i="2" s="1"/>
  <c r="R254" i="2"/>
  <c r="W254" i="2" s="1"/>
  <c r="N254" i="2"/>
  <c r="Q177" i="2"/>
  <c r="N177" i="2"/>
  <c r="O177" i="2"/>
  <c r="P177" i="2"/>
  <c r="R177" i="2"/>
  <c r="Q247" i="2"/>
  <c r="V247" i="2" s="1"/>
  <c r="N247" i="2"/>
  <c r="S247" i="2" s="1"/>
  <c r="O247" i="2"/>
  <c r="T247" i="2" s="1"/>
  <c r="P247" i="2"/>
  <c r="R247" i="2"/>
  <c r="W247" i="2" s="1"/>
  <c r="R308" i="2"/>
  <c r="W308" i="2" s="1"/>
  <c r="Q308" i="2"/>
  <c r="N308" i="2"/>
  <c r="S308" i="2" s="1"/>
  <c r="O308" i="2"/>
  <c r="T308" i="2" s="1"/>
  <c r="P308" i="2"/>
  <c r="Q265" i="2"/>
  <c r="R265" i="2"/>
  <c r="O265" i="2"/>
  <c r="T265" i="2" s="1"/>
  <c r="P265" i="2"/>
  <c r="N265" i="2"/>
  <c r="P176" i="2"/>
  <c r="U176" i="2" s="1"/>
  <c r="Q176" i="2"/>
  <c r="V176" i="2" s="1"/>
  <c r="R176" i="2"/>
  <c r="W176" i="2" s="1"/>
  <c r="O176" i="2"/>
  <c r="T176" i="2" s="1"/>
  <c r="N176" i="2"/>
  <c r="S176" i="2" s="1"/>
  <c r="Q299" i="2"/>
  <c r="N299" i="2"/>
  <c r="O299" i="2"/>
  <c r="P299" i="2"/>
  <c r="R299" i="2"/>
  <c r="W299" i="2" s="1"/>
  <c r="Q194" i="2"/>
  <c r="V194" i="2" s="1"/>
  <c r="N194" i="2"/>
  <c r="S194" i="2" s="1"/>
  <c r="O194" i="2"/>
  <c r="P194" i="2"/>
  <c r="U194" i="2" s="1"/>
  <c r="F35" i="24" s="1"/>
  <c r="R194" i="2"/>
  <c r="W194" i="2" s="1"/>
  <c r="R279" i="2"/>
  <c r="P279" i="2"/>
  <c r="U279" i="2" s="1"/>
  <c r="Q279" i="2"/>
  <c r="V279" i="2" s="1"/>
  <c r="N279" i="2"/>
  <c r="O279" i="2"/>
  <c r="T279" i="2" s="1"/>
  <c r="P307" i="2"/>
  <c r="U307" i="2" s="1"/>
  <c r="Q307" i="2"/>
  <c r="V307" i="2" s="1"/>
  <c r="R307" i="2"/>
  <c r="W307" i="2" s="1"/>
  <c r="N307" i="2"/>
  <c r="S307" i="2" s="1"/>
  <c r="O307" i="2"/>
  <c r="T307" i="2" s="1"/>
  <c r="R270" i="2"/>
  <c r="W270" i="2" s="1"/>
  <c r="N270" i="2"/>
  <c r="S270" i="2" s="1"/>
  <c r="O270" i="2"/>
  <c r="T270" i="2" s="1"/>
  <c r="P270" i="2"/>
  <c r="Q270" i="2"/>
  <c r="P260" i="2"/>
  <c r="O260" i="2"/>
  <c r="N260" i="2"/>
  <c r="Q260" i="2"/>
  <c r="V260" i="2" s="1"/>
  <c r="R260" i="2"/>
  <c r="W260" i="2" s="1"/>
  <c r="N302" i="2"/>
  <c r="S302" i="2" s="1"/>
  <c r="O302" i="2"/>
  <c r="T302" i="2" s="1"/>
  <c r="R302" i="2"/>
  <c r="W302" i="2" s="1"/>
  <c r="P302" i="2"/>
  <c r="U302" i="2" s="1"/>
  <c r="Q302" i="2"/>
  <c r="O193" i="2"/>
  <c r="P193" i="2"/>
  <c r="N193" i="2"/>
  <c r="Q193" i="2"/>
  <c r="R193" i="2"/>
  <c r="O291" i="2"/>
  <c r="T291" i="2" s="1"/>
  <c r="P291" i="2"/>
  <c r="U291" i="2" s="1"/>
  <c r="Q291" i="2"/>
  <c r="V291" i="2" s="1"/>
  <c r="R291" i="2"/>
  <c r="W291" i="2" s="1"/>
  <c r="N291" i="2"/>
  <c r="S291" i="2" s="1"/>
  <c r="R217" i="2"/>
  <c r="W217" i="2" s="1"/>
  <c r="P217" i="2"/>
  <c r="Q217" i="2"/>
  <c r="V217" i="2" s="1"/>
  <c r="N217" i="2"/>
  <c r="O217" i="2"/>
  <c r="P336" i="2"/>
  <c r="U336" i="2" s="1"/>
  <c r="Q336" i="2"/>
  <c r="V336" i="2" s="1"/>
  <c r="R336" i="2"/>
  <c r="W336" i="2" s="1"/>
  <c r="N336" i="2"/>
  <c r="S336" i="2" s="1"/>
  <c r="O336" i="2"/>
  <c r="T336" i="2" s="1"/>
  <c r="P210" i="2"/>
  <c r="U210" i="2" s="1"/>
  <c r="Q210" i="2"/>
  <c r="V210" i="2" s="1"/>
  <c r="R210" i="2"/>
  <c r="W210" i="2" s="1"/>
  <c r="N210" i="2"/>
  <c r="O210" i="2"/>
  <c r="T210" i="2" s="1"/>
  <c r="N280" i="2"/>
  <c r="O280" i="2"/>
  <c r="P280" i="2"/>
  <c r="U280" i="2" s="1"/>
  <c r="Q280" i="2"/>
  <c r="R280" i="2"/>
  <c r="W280" i="2" s="1"/>
  <c r="P320" i="2"/>
  <c r="U320" i="2" s="1"/>
  <c r="N320" i="2"/>
  <c r="S320" i="2" s="1"/>
  <c r="O320" i="2"/>
  <c r="T320" i="2" s="1"/>
  <c r="Q320" i="2"/>
  <c r="V320" i="2" s="1"/>
  <c r="R320" i="2"/>
  <c r="W320" i="2" s="1"/>
  <c r="N284" i="2"/>
  <c r="O284" i="2"/>
  <c r="P284" i="2"/>
  <c r="R284" i="2"/>
  <c r="Q284" i="2"/>
  <c r="N253" i="2"/>
  <c r="S253" i="2" s="1"/>
  <c r="R253" i="2"/>
  <c r="W253" i="2" s="1"/>
  <c r="O253" i="2"/>
  <c r="T253" i="2" s="1"/>
  <c r="P253" i="2"/>
  <c r="U253" i="2" s="1"/>
  <c r="Q253" i="2"/>
  <c r="V253" i="2" s="1"/>
  <c r="P306" i="2"/>
  <c r="U306" i="2" s="1"/>
  <c r="O306" i="2"/>
  <c r="T306" i="2" s="1"/>
  <c r="N306" i="2"/>
  <c r="S306" i="2" s="1"/>
  <c r="R306" i="2"/>
  <c r="W306" i="2" s="1"/>
  <c r="Q306" i="2"/>
  <c r="V306" i="2" s="1"/>
  <c r="N202" i="2"/>
  <c r="O202" i="2"/>
  <c r="T202" i="2" s="1"/>
  <c r="P202" i="2"/>
  <c r="Q202" i="2"/>
  <c r="V202" i="2" s="1"/>
  <c r="R202" i="2"/>
  <c r="W202" i="2" s="1"/>
  <c r="M15" i="2"/>
  <c r="R15" i="2" s="1"/>
  <c r="W15" i="2" s="1"/>
  <c r="F41" i="6"/>
  <c r="I41" i="6" s="1"/>
  <c r="M41" i="6" s="1"/>
  <c r="R12" i="2"/>
  <c r="W12" i="2" s="1"/>
  <c r="P12" i="2"/>
  <c r="U12" i="2" s="1"/>
  <c r="F37" i="24" s="1"/>
  <c r="O12" i="2"/>
  <c r="T12" i="2" s="1"/>
  <c r="E37" i="24" s="1"/>
  <c r="N12" i="2"/>
  <c r="S12" i="2" s="1"/>
  <c r="D37" i="24"/>
  <c r="H37" i="24" s="1"/>
  <c r="I37" i="24" s="1"/>
  <c r="O99" i="2"/>
  <c r="T99" i="2" s="1"/>
  <c r="Q99" i="2"/>
  <c r="V99" i="2" s="1"/>
  <c r="P99" i="2"/>
  <c r="U99" i="2" s="1"/>
  <c r="R99" i="2"/>
  <c r="W99" i="2" s="1"/>
  <c r="N99" i="2"/>
  <c r="S99" i="2" s="1"/>
  <c r="P89" i="2"/>
  <c r="U89" i="2" s="1"/>
  <c r="D197" i="24"/>
  <c r="H197" i="24" s="1"/>
  <c r="I197" i="24" s="1"/>
  <c r="R89" i="2"/>
  <c r="W89" i="2" s="1"/>
  <c r="O89" i="2"/>
  <c r="T89" i="2" s="1"/>
  <c r="Q89" i="2"/>
  <c r="V89" i="2" s="1"/>
  <c r="N89" i="2"/>
  <c r="S89" i="2" s="1"/>
  <c r="D340" i="24"/>
  <c r="D234" i="24"/>
  <c r="H234" i="24" s="1"/>
  <c r="I234" i="24" s="1"/>
  <c r="S329" i="2"/>
  <c r="V329" i="2"/>
  <c r="T329" i="2"/>
  <c r="U329" i="2"/>
  <c r="W329" i="2"/>
  <c r="R40" i="2"/>
  <c r="W40" i="2" s="1"/>
  <c r="O40" i="2"/>
  <c r="T40" i="2" s="1"/>
  <c r="D112" i="24"/>
  <c r="P40" i="2"/>
  <c r="U40" i="2" s="1"/>
  <c r="Q40" i="2"/>
  <c r="V40" i="2" s="1"/>
  <c r="N40" i="2"/>
  <c r="S40" i="2" s="1"/>
  <c r="D152" i="24"/>
  <c r="H152" i="24" s="1"/>
  <c r="I152" i="24" s="1"/>
  <c r="D99" i="24"/>
  <c r="H99" i="24" s="1"/>
  <c r="I99" i="24" s="1"/>
  <c r="W231" i="2"/>
  <c r="D252" i="24"/>
  <c r="H252" i="24" s="1"/>
  <c r="I252" i="24" s="1"/>
  <c r="W204" i="2"/>
  <c r="T204" i="2"/>
  <c r="D304" i="24"/>
  <c r="S204" i="2"/>
  <c r="N39" i="2"/>
  <c r="S39" i="2" s="1"/>
  <c r="P39" i="2"/>
  <c r="U39" i="2" s="1"/>
  <c r="D109" i="24"/>
  <c r="H109" i="24" s="1"/>
  <c r="I109" i="24" s="1"/>
  <c r="R39" i="2"/>
  <c r="W39" i="2" s="1"/>
  <c r="O39" i="2"/>
  <c r="T39" i="2" s="1"/>
  <c r="Q39" i="2"/>
  <c r="V39" i="2" s="1"/>
  <c r="U262" i="2"/>
  <c r="W262" i="2"/>
  <c r="D154" i="24"/>
  <c r="H154" i="24" s="1"/>
  <c r="I154" i="24" s="1"/>
  <c r="D173" i="24"/>
  <c r="H173" i="24" s="1"/>
  <c r="I173" i="24" s="1"/>
  <c r="V286" i="2"/>
  <c r="Q141" i="2"/>
  <c r="V141" i="2" s="1"/>
  <c r="N141" i="2"/>
  <c r="S141" i="2" s="1"/>
  <c r="D306" i="24"/>
  <c r="H306" i="24" s="1"/>
  <c r="I306" i="24" s="1"/>
  <c r="P141" i="2"/>
  <c r="U141" i="2" s="1"/>
  <c r="R141" i="2"/>
  <c r="W141" i="2" s="1"/>
  <c r="O141" i="2"/>
  <c r="T141" i="2" s="1"/>
  <c r="D339" i="24"/>
  <c r="H339" i="24" s="1"/>
  <c r="I339" i="24" s="1"/>
  <c r="R162" i="2"/>
  <c r="W162" i="2" s="1"/>
  <c r="O162" i="2"/>
  <c r="T162" i="2" s="1"/>
  <c r="D358" i="24"/>
  <c r="H358" i="24" s="1"/>
  <c r="I358" i="24" s="1"/>
  <c r="Q162" i="2"/>
  <c r="V162" i="2" s="1"/>
  <c r="N162" i="2"/>
  <c r="S162" i="2" s="1"/>
  <c r="P162" i="2"/>
  <c r="U162" i="2" s="1"/>
  <c r="S249" i="2"/>
  <c r="D139" i="24"/>
  <c r="V249" i="2"/>
  <c r="U249" i="2"/>
  <c r="H214" i="24"/>
  <c r="I214" i="24" s="1"/>
  <c r="D132" i="24"/>
  <c r="H132" i="24" s="1"/>
  <c r="I132" i="24" s="1"/>
  <c r="F44" i="6"/>
  <c r="J44" i="6" s="1"/>
  <c r="N44" i="6" s="1"/>
  <c r="F42" i="6"/>
  <c r="F3" i="6"/>
  <c r="F2" i="6"/>
  <c r="R29" i="2"/>
  <c r="W29" i="2" s="1"/>
  <c r="Q29" i="2"/>
  <c r="V29" i="2" s="1"/>
  <c r="P29" i="2"/>
  <c r="U29" i="2" s="1"/>
  <c r="O29" i="2"/>
  <c r="T29" i="2" s="1"/>
  <c r="N29" i="2"/>
  <c r="S29" i="2" s="1"/>
  <c r="R142" i="2"/>
  <c r="W142" i="2" s="1"/>
  <c r="Q142" i="2"/>
  <c r="N142" i="2"/>
  <c r="S142" i="2" s="1"/>
  <c r="P142" i="2"/>
  <c r="U142" i="2" s="1"/>
  <c r="O142" i="2"/>
  <c r="T142" i="2" s="1"/>
  <c r="W240" i="2"/>
  <c r="V240" i="2"/>
  <c r="R81" i="2"/>
  <c r="W81" i="2" s="1"/>
  <c r="Q81" i="2"/>
  <c r="V81" i="2" s="1"/>
  <c r="N81" i="2"/>
  <c r="S81" i="2" s="1"/>
  <c r="P81" i="2"/>
  <c r="U81" i="2" s="1"/>
  <c r="O81" i="2"/>
  <c r="T81" i="2" s="1"/>
  <c r="R65" i="2"/>
  <c r="W65" i="2" s="1"/>
  <c r="P65" i="2"/>
  <c r="U65" i="2" s="1"/>
  <c r="Q65" i="2"/>
  <c r="V65" i="2" s="1"/>
  <c r="N65" i="2"/>
  <c r="S65" i="2" s="1"/>
  <c r="O65" i="2"/>
  <c r="T65" i="2" s="1"/>
  <c r="R102" i="2"/>
  <c r="W102" i="2" s="1"/>
  <c r="N102" i="2"/>
  <c r="S102" i="2" s="1"/>
  <c r="Q102" i="2"/>
  <c r="V102" i="2" s="1"/>
  <c r="O102" i="2"/>
  <c r="T102" i="2" s="1"/>
  <c r="P102" i="2"/>
  <c r="U102" i="2" s="1"/>
  <c r="R96" i="2"/>
  <c r="W96" i="2" s="1"/>
  <c r="Q96" i="2"/>
  <c r="V96" i="2" s="1"/>
  <c r="N96" i="2"/>
  <c r="P96" i="2"/>
  <c r="U96" i="2" s="1"/>
  <c r="O96" i="2"/>
  <c r="T96" i="2" s="1"/>
  <c r="W303" i="2"/>
  <c r="U303" i="2"/>
  <c r="S303" i="2"/>
  <c r="R106" i="2"/>
  <c r="W106" i="2" s="1"/>
  <c r="P106" i="2"/>
  <c r="U106" i="2" s="1"/>
  <c r="Q106" i="2"/>
  <c r="V106" i="2" s="1"/>
  <c r="N106" i="2"/>
  <c r="S106" i="2" s="1"/>
  <c r="O106" i="2"/>
  <c r="T106" i="2" s="1"/>
  <c r="W251" i="2"/>
  <c r="R342" i="2"/>
  <c r="Q342" i="2"/>
  <c r="P342" i="2"/>
  <c r="U342" i="2" s="1"/>
  <c r="N342" i="2"/>
  <c r="S342" i="2" s="1"/>
  <c r="O342" i="2"/>
  <c r="T342" i="2" s="1"/>
  <c r="R11" i="2"/>
  <c r="W11" i="2" s="1"/>
  <c r="Q11" i="2"/>
  <c r="V11" i="2" s="1"/>
  <c r="P11" i="2"/>
  <c r="U11" i="2" s="1"/>
  <c r="N11" i="2"/>
  <c r="S11" i="2" s="1"/>
  <c r="O11" i="2"/>
  <c r="T11" i="2" s="1"/>
  <c r="R42" i="2"/>
  <c r="W42" i="2" s="1"/>
  <c r="Q42" i="2"/>
  <c r="V42" i="2" s="1"/>
  <c r="P42" i="2"/>
  <c r="U42" i="2" s="1"/>
  <c r="N42" i="2"/>
  <c r="S42" i="2" s="1"/>
  <c r="O42" i="2"/>
  <c r="T42" i="2" s="1"/>
  <c r="R51" i="2"/>
  <c r="W51" i="2" s="1"/>
  <c r="Q51" i="2"/>
  <c r="V51" i="2" s="1"/>
  <c r="N51" i="2"/>
  <c r="S51" i="2" s="1"/>
  <c r="P51" i="2"/>
  <c r="U51" i="2" s="1"/>
  <c r="O51" i="2"/>
  <c r="T51" i="2" s="1"/>
  <c r="R107" i="2"/>
  <c r="W107" i="2" s="1"/>
  <c r="N107" i="2"/>
  <c r="S107" i="2" s="1"/>
  <c r="Q107" i="2"/>
  <c r="V107" i="2" s="1"/>
  <c r="O107" i="2"/>
  <c r="T107" i="2" s="1"/>
  <c r="P107" i="2"/>
  <c r="U107" i="2" s="1"/>
  <c r="R161" i="2"/>
  <c r="W161" i="2" s="1"/>
  <c r="Q161" i="2"/>
  <c r="V161" i="2" s="1"/>
  <c r="N161" i="2"/>
  <c r="S161" i="2" s="1"/>
  <c r="P161" i="2"/>
  <c r="U161" i="2" s="1"/>
  <c r="O161" i="2"/>
  <c r="T161" i="2" s="1"/>
  <c r="R119" i="2"/>
  <c r="W119" i="2" s="1"/>
  <c r="N119" i="2"/>
  <c r="S119" i="2" s="1"/>
  <c r="Q119" i="2"/>
  <c r="V119" i="2" s="1"/>
  <c r="O119" i="2"/>
  <c r="T119" i="2" s="1"/>
  <c r="P119" i="2"/>
  <c r="U119" i="2" s="1"/>
  <c r="R48" i="2"/>
  <c r="W48" i="2" s="1"/>
  <c r="Q48" i="2"/>
  <c r="V48" i="2" s="1"/>
  <c r="N48" i="2"/>
  <c r="S48" i="2" s="1"/>
  <c r="O48" i="2"/>
  <c r="T48" i="2" s="1"/>
  <c r="P48" i="2"/>
  <c r="R78" i="2"/>
  <c r="W78" i="2" s="1"/>
  <c r="P78" i="2"/>
  <c r="U78" i="2" s="1"/>
  <c r="Q78" i="2"/>
  <c r="V78" i="2" s="1"/>
  <c r="N78" i="2"/>
  <c r="S78" i="2" s="1"/>
  <c r="O78" i="2"/>
  <c r="T78" i="2" s="1"/>
  <c r="R100" i="2"/>
  <c r="W100" i="2" s="1"/>
  <c r="N100" i="2"/>
  <c r="S100" i="2" s="1"/>
  <c r="Q100" i="2"/>
  <c r="V100" i="2" s="1"/>
  <c r="O100" i="2"/>
  <c r="T100" i="2" s="1"/>
  <c r="P100" i="2"/>
  <c r="U100" i="2" s="1"/>
  <c r="R23" i="2"/>
  <c r="W23" i="2" s="1"/>
  <c r="Q23" i="2"/>
  <c r="N23" i="2"/>
  <c r="S23" i="2" s="1"/>
  <c r="P23" i="2"/>
  <c r="U23" i="2" s="1"/>
  <c r="F66" i="24" s="1"/>
  <c r="O23" i="2"/>
  <c r="T23" i="2" s="1"/>
  <c r="E66" i="24" s="1"/>
  <c r="R69" i="2"/>
  <c r="W69" i="2" s="1"/>
  <c r="P69" i="2"/>
  <c r="U69" i="2" s="1"/>
  <c r="Q69" i="2"/>
  <c r="V69" i="2" s="1"/>
  <c r="N69" i="2"/>
  <c r="S69" i="2" s="1"/>
  <c r="O69" i="2"/>
  <c r="T69" i="2" s="1"/>
  <c r="V292" i="2"/>
  <c r="W292" i="2"/>
  <c r="W324" i="2"/>
  <c r="V324" i="2"/>
  <c r="U324" i="2"/>
  <c r="E84" i="24"/>
  <c r="R71" i="2"/>
  <c r="W71" i="2" s="1"/>
  <c r="N71" i="2"/>
  <c r="S71" i="2" s="1"/>
  <c r="Q71" i="2"/>
  <c r="V71" i="2" s="1"/>
  <c r="O71" i="2"/>
  <c r="T71" i="2" s="1"/>
  <c r="P71" i="2"/>
  <c r="U71" i="2" s="1"/>
  <c r="V265" i="2"/>
  <c r="W265" i="2"/>
  <c r="S265" i="2"/>
  <c r="R122" i="2"/>
  <c r="W122" i="2" s="1"/>
  <c r="P122" i="2"/>
  <c r="U122" i="2" s="1"/>
  <c r="Q122" i="2"/>
  <c r="V122" i="2" s="1"/>
  <c r="N122" i="2"/>
  <c r="S122" i="2" s="1"/>
  <c r="O122" i="2"/>
  <c r="T122" i="2" s="1"/>
  <c r="R21" i="2"/>
  <c r="W21" i="2" s="1"/>
  <c r="Q21" i="2"/>
  <c r="V21" i="2" s="1"/>
  <c r="P21" i="2"/>
  <c r="U21" i="2" s="1"/>
  <c r="N21" i="2"/>
  <c r="S21" i="2" s="1"/>
  <c r="O21" i="2"/>
  <c r="T21" i="2" s="1"/>
  <c r="W279" i="2"/>
  <c r="S279" i="2"/>
  <c r="R91" i="2"/>
  <c r="W91" i="2" s="1"/>
  <c r="P91" i="2"/>
  <c r="U91" i="2" s="1"/>
  <c r="Q91" i="2"/>
  <c r="V91" i="2" s="1"/>
  <c r="N91" i="2"/>
  <c r="S91" i="2" s="1"/>
  <c r="O91" i="2"/>
  <c r="T91" i="2" s="1"/>
  <c r="R123" i="2"/>
  <c r="W123" i="2" s="1"/>
  <c r="N123" i="2"/>
  <c r="Q123" i="2"/>
  <c r="V123" i="2" s="1"/>
  <c r="O123" i="2"/>
  <c r="T123" i="2" s="1"/>
  <c r="P123" i="2"/>
  <c r="U123" i="2" s="1"/>
  <c r="V322" i="2"/>
  <c r="U322" i="2"/>
  <c r="T322" i="2"/>
  <c r="R10" i="2"/>
  <c r="W10" i="2" s="1"/>
  <c r="Q10" i="2"/>
  <c r="N10" i="2"/>
  <c r="P10" i="2"/>
  <c r="O10" i="2"/>
  <c r="R30" i="2"/>
  <c r="W30" i="2" s="1"/>
  <c r="P30" i="2"/>
  <c r="U30" i="2" s="1"/>
  <c r="Q30" i="2"/>
  <c r="V30" i="2" s="1"/>
  <c r="N30" i="2"/>
  <c r="S30" i="2" s="1"/>
  <c r="O30" i="2"/>
  <c r="T30" i="2" s="1"/>
  <c r="R37" i="2"/>
  <c r="W37" i="2" s="1"/>
  <c r="Q37" i="2"/>
  <c r="V37" i="2" s="1"/>
  <c r="P37" i="2"/>
  <c r="U37" i="2" s="1"/>
  <c r="N37" i="2"/>
  <c r="S37" i="2" s="1"/>
  <c r="O37" i="2"/>
  <c r="T37" i="2" s="1"/>
  <c r="V270" i="2"/>
  <c r="R101" i="2"/>
  <c r="W101" i="2" s="1"/>
  <c r="P101" i="2"/>
  <c r="U101" i="2" s="1"/>
  <c r="Q101" i="2"/>
  <c r="V101" i="2" s="1"/>
  <c r="N101" i="2"/>
  <c r="S101" i="2" s="1"/>
  <c r="O101" i="2"/>
  <c r="T101" i="2" s="1"/>
  <c r="W305" i="2"/>
  <c r="S260" i="2"/>
  <c r="U260" i="2"/>
  <c r="T260" i="2"/>
  <c r="W323" i="2"/>
  <c r="U323" i="2"/>
  <c r="R83" i="2"/>
  <c r="W83" i="2" s="1"/>
  <c r="N83" i="2"/>
  <c r="S83" i="2" s="1"/>
  <c r="Q83" i="2"/>
  <c r="V83" i="2" s="1"/>
  <c r="O83" i="2"/>
  <c r="T83" i="2" s="1"/>
  <c r="P83" i="2"/>
  <c r="U83" i="2" s="1"/>
  <c r="R47" i="2"/>
  <c r="W47" i="2" s="1"/>
  <c r="Q47" i="2"/>
  <c r="V47" i="2" s="1"/>
  <c r="P47" i="2"/>
  <c r="U47" i="2" s="1"/>
  <c r="N47" i="2"/>
  <c r="S47" i="2" s="1"/>
  <c r="O47" i="2"/>
  <c r="T47" i="2" s="1"/>
  <c r="R73" i="2"/>
  <c r="W73" i="2" s="1"/>
  <c r="Q73" i="2"/>
  <c r="V73" i="2" s="1"/>
  <c r="P73" i="2"/>
  <c r="U73" i="2" s="1"/>
  <c r="N73" i="2"/>
  <c r="S73" i="2" s="1"/>
  <c r="O73" i="2"/>
  <c r="T73" i="2" s="1"/>
  <c r="R24" i="2"/>
  <c r="W24" i="2" s="1"/>
  <c r="Q24" i="2"/>
  <c r="V24" i="2" s="1"/>
  <c r="P24" i="2"/>
  <c r="U24" i="2" s="1"/>
  <c r="N24" i="2"/>
  <c r="S24" i="2" s="1"/>
  <c r="O24" i="2"/>
  <c r="T24" i="2" s="1"/>
  <c r="R120" i="2"/>
  <c r="W120" i="2" s="1"/>
  <c r="Q120" i="2"/>
  <c r="V120" i="2" s="1"/>
  <c r="N120" i="2"/>
  <c r="S120" i="2" s="1"/>
  <c r="P120" i="2"/>
  <c r="U120" i="2" s="1"/>
  <c r="O120" i="2"/>
  <c r="T120" i="2" s="1"/>
  <c r="R57" i="2"/>
  <c r="W57" i="2" s="1"/>
  <c r="P57" i="2"/>
  <c r="U57" i="2" s="1"/>
  <c r="Q57" i="2"/>
  <c r="V57" i="2" s="1"/>
  <c r="N57" i="2"/>
  <c r="S57" i="2" s="1"/>
  <c r="O57" i="2"/>
  <c r="T57" i="2" s="1"/>
  <c r="R13" i="2"/>
  <c r="W13" i="2" s="1"/>
  <c r="Q13" i="2"/>
  <c r="V13" i="2" s="1"/>
  <c r="P13" i="2"/>
  <c r="U13" i="2" s="1"/>
  <c r="N13" i="2"/>
  <c r="S13" i="2" s="1"/>
  <c r="O13" i="2"/>
  <c r="T13" i="2" s="1"/>
  <c r="R45" i="2"/>
  <c r="W45" i="2" s="1"/>
  <c r="Q45" i="2"/>
  <c r="V45" i="2" s="1"/>
  <c r="P45" i="2"/>
  <c r="U45" i="2" s="1"/>
  <c r="N45" i="2"/>
  <c r="S45" i="2" s="1"/>
  <c r="O45" i="2"/>
  <c r="T45" i="2" s="1"/>
  <c r="R131" i="2"/>
  <c r="W131" i="2" s="1"/>
  <c r="N131" i="2"/>
  <c r="S131" i="2" s="1"/>
  <c r="Q131" i="2"/>
  <c r="V131" i="2" s="1"/>
  <c r="O131" i="2"/>
  <c r="T131" i="2" s="1"/>
  <c r="P131" i="2"/>
  <c r="U131" i="2" s="1"/>
  <c r="R54" i="2"/>
  <c r="W54" i="2" s="1"/>
  <c r="Q54" i="2"/>
  <c r="V54" i="2" s="1"/>
  <c r="P54" i="2"/>
  <c r="U54" i="2" s="1"/>
  <c r="N54" i="2"/>
  <c r="S54" i="2" s="1"/>
  <c r="O54" i="2"/>
  <c r="T54" i="2" s="1"/>
  <c r="S180" i="2"/>
  <c r="U180" i="2"/>
  <c r="T180" i="2"/>
  <c r="R38" i="2"/>
  <c r="W38" i="2" s="1"/>
  <c r="Q38" i="2"/>
  <c r="V38" i="2" s="1"/>
  <c r="P38" i="2"/>
  <c r="U38" i="2" s="1"/>
  <c r="N38" i="2"/>
  <c r="S38" i="2" s="1"/>
  <c r="O38" i="2"/>
  <c r="T38" i="2" s="1"/>
  <c r="S256" i="2"/>
  <c r="T256" i="2"/>
  <c r="R49" i="2"/>
  <c r="W49" i="2" s="1"/>
  <c r="P49" i="2"/>
  <c r="U49" i="2" s="1"/>
  <c r="Q49" i="2"/>
  <c r="V49" i="2" s="1"/>
  <c r="N49" i="2"/>
  <c r="S49" i="2" s="1"/>
  <c r="O49" i="2"/>
  <c r="T49" i="2" s="1"/>
  <c r="R134" i="2"/>
  <c r="W134" i="2" s="1"/>
  <c r="P134" i="2"/>
  <c r="U134" i="2" s="1"/>
  <c r="Q134" i="2"/>
  <c r="V134" i="2" s="1"/>
  <c r="N134" i="2"/>
  <c r="S134" i="2" s="1"/>
  <c r="O134" i="2"/>
  <c r="T134" i="2" s="1"/>
  <c r="R165" i="2"/>
  <c r="W165" i="2" s="1"/>
  <c r="N165" i="2"/>
  <c r="S165" i="2" s="1"/>
  <c r="Q165" i="2"/>
  <c r="V165" i="2" s="1"/>
  <c r="O165" i="2"/>
  <c r="T165" i="2" s="1"/>
  <c r="P165" i="2"/>
  <c r="U165" i="2" s="1"/>
  <c r="V302" i="2"/>
  <c r="R153" i="2"/>
  <c r="W153" i="2" s="1"/>
  <c r="Q153" i="2"/>
  <c r="V153" i="2" s="1"/>
  <c r="G273" i="24" s="1"/>
  <c r="P153" i="2"/>
  <c r="U153" i="2" s="1"/>
  <c r="F273" i="24" s="1"/>
  <c r="N153" i="2"/>
  <c r="S153" i="2" s="1"/>
  <c r="O153" i="2"/>
  <c r="T153" i="2" s="1"/>
  <c r="W201" i="2"/>
  <c r="S201" i="2"/>
  <c r="U201" i="2"/>
  <c r="F40" i="24" s="1"/>
  <c r="T201" i="2"/>
  <c r="R36" i="2"/>
  <c r="W36" i="2" s="1"/>
  <c r="Q36" i="2"/>
  <c r="V36" i="2" s="1"/>
  <c r="N36" i="2"/>
  <c r="S36" i="2" s="1"/>
  <c r="P36" i="2"/>
  <c r="U36" i="2" s="1"/>
  <c r="O36" i="2"/>
  <c r="T36" i="2" s="1"/>
  <c r="R128" i="2"/>
  <c r="W128" i="2" s="1"/>
  <c r="Q128" i="2"/>
  <c r="V128" i="2" s="1"/>
  <c r="N128" i="2"/>
  <c r="S128" i="2" s="1"/>
  <c r="P128" i="2"/>
  <c r="U128" i="2" s="1"/>
  <c r="O128" i="2"/>
  <c r="T128" i="2" s="1"/>
  <c r="R6" i="2"/>
  <c r="W6" i="2" s="1"/>
  <c r="Q6" i="2"/>
  <c r="P6" i="2"/>
  <c r="U6" i="2" s="1"/>
  <c r="O6" i="2"/>
  <c r="T6" i="2" s="1"/>
  <c r="N6" i="2"/>
  <c r="S6" i="2" s="1"/>
  <c r="R52" i="2"/>
  <c r="W52" i="2" s="1"/>
  <c r="P52" i="2"/>
  <c r="U52" i="2" s="1"/>
  <c r="Q52" i="2"/>
  <c r="V52" i="2" s="1"/>
  <c r="N52" i="2"/>
  <c r="S52" i="2" s="1"/>
  <c r="O52" i="2"/>
  <c r="T52" i="2" s="1"/>
  <c r="R53" i="2"/>
  <c r="W53" i="2" s="1"/>
  <c r="Q53" i="2"/>
  <c r="V53" i="2" s="1"/>
  <c r="N53" i="2"/>
  <c r="S53" i="2" s="1"/>
  <c r="O53" i="2"/>
  <c r="P53" i="2"/>
  <c r="U53" i="2" s="1"/>
  <c r="W193" i="2"/>
  <c r="S193" i="2"/>
  <c r="V193" i="2"/>
  <c r="T193" i="2"/>
  <c r="U193" i="2"/>
  <c r="U191" i="2"/>
  <c r="F26" i="24" s="1"/>
  <c r="V191" i="2"/>
  <c r="G26" i="24" s="1"/>
  <c r="S191" i="2"/>
  <c r="T191" i="2"/>
  <c r="E26" i="24" s="1"/>
  <c r="R160" i="2"/>
  <c r="W160" i="2" s="1"/>
  <c r="N160" i="2"/>
  <c r="S160" i="2" s="1"/>
  <c r="Q160" i="2"/>
  <c r="V160" i="2" s="1"/>
  <c r="P160" i="2"/>
  <c r="U160" i="2" s="1"/>
  <c r="O160" i="2"/>
  <c r="T160" i="2" s="1"/>
  <c r="U326" i="2"/>
  <c r="T326" i="2"/>
  <c r="S337" i="2"/>
  <c r="T337" i="2"/>
  <c r="R345" i="2"/>
  <c r="N345" i="2"/>
  <c r="S345" i="2" s="1"/>
  <c r="Q345" i="2"/>
  <c r="V345" i="2" s="1"/>
  <c r="P345" i="2"/>
  <c r="U345" i="2" s="1"/>
  <c r="O345" i="2"/>
  <c r="T345" i="2" s="1"/>
  <c r="R27" i="2"/>
  <c r="W27" i="2" s="1"/>
  <c r="Q27" i="2"/>
  <c r="V27" i="2" s="1"/>
  <c r="P27" i="2"/>
  <c r="U27" i="2" s="1"/>
  <c r="N27" i="2"/>
  <c r="S27" i="2" s="1"/>
  <c r="O27" i="2"/>
  <c r="T27" i="2" s="1"/>
  <c r="R75" i="2"/>
  <c r="W75" i="2" s="1"/>
  <c r="N75" i="2"/>
  <c r="S75" i="2" s="1"/>
  <c r="Q75" i="2"/>
  <c r="V75" i="2" s="1"/>
  <c r="O75" i="2"/>
  <c r="T75" i="2" s="1"/>
  <c r="P75" i="2"/>
  <c r="U75" i="2" s="1"/>
  <c r="R74" i="2"/>
  <c r="W74" i="2" s="1"/>
  <c r="P74" i="2"/>
  <c r="U74" i="2" s="1"/>
  <c r="Q74" i="2"/>
  <c r="V74" i="2" s="1"/>
  <c r="N74" i="2"/>
  <c r="S74" i="2" s="1"/>
  <c r="O74" i="2"/>
  <c r="T74" i="2" s="1"/>
  <c r="U188" i="2"/>
  <c r="T188" i="2"/>
  <c r="S254" i="2"/>
  <c r="R132" i="2"/>
  <c r="W132" i="2" s="1"/>
  <c r="Q132" i="2"/>
  <c r="V132" i="2" s="1"/>
  <c r="P132" i="2"/>
  <c r="U132" i="2" s="1"/>
  <c r="N132" i="2"/>
  <c r="S132" i="2" s="1"/>
  <c r="O132" i="2"/>
  <c r="T132" i="2" s="1"/>
  <c r="W211" i="2"/>
  <c r="V211" i="2"/>
  <c r="U211" i="2"/>
  <c r="S211" i="2"/>
  <c r="T211" i="2"/>
  <c r="R94" i="2"/>
  <c r="W94" i="2" s="1"/>
  <c r="Q94" i="2"/>
  <c r="V94" i="2" s="1"/>
  <c r="N94" i="2"/>
  <c r="S94" i="2" s="1"/>
  <c r="P94" i="2"/>
  <c r="U94" i="2" s="1"/>
  <c r="O94" i="2"/>
  <c r="T94" i="2" s="1"/>
  <c r="V308" i="2"/>
  <c r="U308" i="2"/>
  <c r="R146" i="2"/>
  <c r="W146" i="2" s="1"/>
  <c r="P146" i="2"/>
  <c r="U146" i="2" s="1"/>
  <c r="Q146" i="2"/>
  <c r="V146" i="2" s="1"/>
  <c r="N146" i="2"/>
  <c r="S146" i="2" s="1"/>
  <c r="O146" i="2"/>
  <c r="T146" i="2" s="1"/>
  <c r="R111" i="2"/>
  <c r="W111" i="2" s="1"/>
  <c r="Q111" i="2"/>
  <c r="V111" i="2" s="1"/>
  <c r="N111" i="2"/>
  <c r="S111" i="2" s="1"/>
  <c r="P111" i="2"/>
  <c r="U111" i="2" s="1"/>
  <c r="O111" i="2"/>
  <c r="T111" i="2" s="1"/>
  <c r="R113" i="2"/>
  <c r="W113" i="2" s="1"/>
  <c r="Q113" i="2"/>
  <c r="V113" i="2" s="1"/>
  <c r="N113" i="2"/>
  <c r="S113" i="2" s="1"/>
  <c r="P113" i="2"/>
  <c r="U113" i="2" s="1"/>
  <c r="O113" i="2"/>
  <c r="T113" i="2" s="1"/>
  <c r="R31" i="2"/>
  <c r="W31" i="2" s="1"/>
  <c r="Q31" i="2"/>
  <c r="V31" i="2" s="1"/>
  <c r="P31" i="2"/>
  <c r="U31" i="2" s="1"/>
  <c r="N31" i="2"/>
  <c r="S31" i="2" s="1"/>
  <c r="O31" i="2"/>
  <c r="T31" i="2" s="1"/>
  <c r="R130" i="2"/>
  <c r="W130" i="2" s="1"/>
  <c r="P130" i="2"/>
  <c r="U130" i="2" s="1"/>
  <c r="Q130" i="2"/>
  <c r="V130" i="2" s="1"/>
  <c r="N130" i="2"/>
  <c r="S130" i="2" s="1"/>
  <c r="O130" i="2"/>
  <c r="T130" i="2" s="1"/>
  <c r="R33" i="2"/>
  <c r="W33" i="2" s="1"/>
  <c r="P33" i="2"/>
  <c r="U33" i="2" s="1"/>
  <c r="Q33" i="2"/>
  <c r="V33" i="2" s="1"/>
  <c r="N33" i="2"/>
  <c r="S33" i="2" s="1"/>
  <c r="O33" i="2"/>
  <c r="T33" i="2" s="1"/>
  <c r="R125" i="2"/>
  <c r="W125" i="2" s="1"/>
  <c r="Q125" i="2"/>
  <c r="V125" i="2" s="1"/>
  <c r="N125" i="2"/>
  <c r="S125" i="2" s="1"/>
  <c r="P125" i="2"/>
  <c r="U125" i="2" s="1"/>
  <c r="O125" i="2"/>
  <c r="T125" i="2" s="1"/>
  <c r="R18" i="2"/>
  <c r="W18" i="2" s="1"/>
  <c r="Q18" i="2"/>
  <c r="V18" i="2" s="1"/>
  <c r="P18" i="2"/>
  <c r="U18" i="2" s="1"/>
  <c r="N18" i="2"/>
  <c r="S18" i="2" s="1"/>
  <c r="O18" i="2"/>
  <c r="T18" i="2" s="1"/>
  <c r="V187" i="2"/>
  <c r="U187" i="2"/>
  <c r="T187" i="2"/>
  <c r="W325" i="2"/>
  <c r="V325" i="2"/>
  <c r="U325" i="2"/>
  <c r="S325" i="2"/>
  <c r="T325" i="2"/>
  <c r="R166" i="2"/>
  <c r="W166" i="2" s="1"/>
  <c r="Q166" i="2"/>
  <c r="V166" i="2" s="1"/>
  <c r="P166" i="2"/>
  <c r="U166" i="2" s="1"/>
  <c r="N166" i="2"/>
  <c r="S166" i="2" s="1"/>
  <c r="O166" i="2"/>
  <c r="T166" i="2" s="1"/>
  <c r="W190" i="2"/>
  <c r="V190" i="2"/>
  <c r="S190" i="2"/>
  <c r="U190" i="2"/>
  <c r="T190" i="2"/>
  <c r="E34" i="24" s="1"/>
  <c r="T194" i="2"/>
  <c r="V225" i="2"/>
  <c r="S202" i="2"/>
  <c r="U202" i="2"/>
  <c r="S210" i="2"/>
  <c r="R32" i="2"/>
  <c r="W32" i="2" s="1"/>
  <c r="Q32" i="2"/>
  <c r="V32" i="2" s="1"/>
  <c r="P32" i="2"/>
  <c r="U32" i="2" s="1"/>
  <c r="N32" i="2"/>
  <c r="S32" i="2" s="1"/>
  <c r="O32" i="2"/>
  <c r="T32" i="2" s="1"/>
  <c r="R55" i="2"/>
  <c r="W55" i="2" s="1"/>
  <c r="Q55" i="2"/>
  <c r="V55" i="2" s="1"/>
  <c r="P55" i="2"/>
  <c r="U55" i="2" s="1"/>
  <c r="N55" i="2"/>
  <c r="S55" i="2" s="1"/>
  <c r="O55" i="2"/>
  <c r="T55" i="2" s="1"/>
  <c r="R76" i="2"/>
  <c r="W76" i="2" s="1"/>
  <c r="Q76" i="2"/>
  <c r="V76" i="2" s="1"/>
  <c r="N76" i="2"/>
  <c r="S76" i="2" s="1"/>
  <c r="P76" i="2"/>
  <c r="U76" i="2" s="1"/>
  <c r="O76" i="2"/>
  <c r="T76" i="2" s="1"/>
  <c r="S293" i="2"/>
  <c r="T293" i="2"/>
  <c r="R126" i="2"/>
  <c r="W126" i="2" s="1"/>
  <c r="P126" i="2"/>
  <c r="U126" i="2" s="1"/>
  <c r="Q126" i="2"/>
  <c r="V126" i="2" s="1"/>
  <c r="N126" i="2"/>
  <c r="S126" i="2" s="1"/>
  <c r="O126" i="2"/>
  <c r="T126" i="2" s="1"/>
  <c r="R138" i="2"/>
  <c r="W138" i="2" s="1"/>
  <c r="P138" i="2"/>
  <c r="U138" i="2" s="1"/>
  <c r="Q138" i="2"/>
  <c r="V138" i="2" s="1"/>
  <c r="N138" i="2"/>
  <c r="S138" i="2" s="1"/>
  <c r="O138" i="2"/>
  <c r="T138" i="2" s="1"/>
  <c r="R147" i="2"/>
  <c r="W147" i="2" s="1"/>
  <c r="N147" i="2"/>
  <c r="S147" i="2" s="1"/>
  <c r="Q147" i="2"/>
  <c r="V147" i="2" s="1"/>
  <c r="O147" i="2"/>
  <c r="T147" i="2" s="1"/>
  <c r="P147" i="2"/>
  <c r="U147" i="2" s="1"/>
  <c r="R167" i="2"/>
  <c r="W167" i="2" s="1"/>
  <c r="Q167" i="2"/>
  <c r="V167" i="2" s="1"/>
  <c r="N167" i="2"/>
  <c r="S167" i="2" s="1"/>
  <c r="P167" i="2"/>
  <c r="U167" i="2" s="1"/>
  <c r="O167" i="2"/>
  <c r="T167" i="2" s="1"/>
  <c r="R17" i="2"/>
  <c r="W17" i="2" s="1"/>
  <c r="Q17" i="2"/>
  <c r="V17" i="2" s="1"/>
  <c r="P17" i="2"/>
  <c r="U17" i="2" s="1"/>
  <c r="N17" i="2"/>
  <c r="S17" i="2" s="1"/>
  <c r="O17" i="2"/>
  <c r="T17" i="2" s="1"/>
  <c r="U217" i="2"/>
  <c r="S217" i="2"/>
  <c r="T217" i="2"/>
  <c r="S243" i="2"/>
  <c r="T243" i="2"/>
  <c r="V280" i="2"/>
  <c r="S280" i="2"/>
  <c r="T280" i="2"/>
  <c r="S300" i="2"/>
  <c r="U300" i="2"/>
  <c r="T300" i="2"/>
  <c r="R124" i="2"/>
  <c r="W124" i="2" s="1"/>
  <c r="Q124" i="2"/>
  <c r="V124" i="2" s="1"/>
  <c r="N124" i="2"/>
  <c r="S124" i="2" s="1"/>
  <c r="P124" i="2"/>
  <c r="U124" i="2" s="1"/>
  <c r="O124" i="2"/>
  <c r="T124" i="2" s="1"/>
  <c r="R140" i="2"/>
  <c r="W140" i="2" s="1"/>
  <c r="Q140" i="2"/>
  <c r="V140" i="2" s="1"/>
  <c r="N140" i="2"/>
  <c r="S140" i="2" s="1"/>
  <c r="P140" i="2"/>
  <c r="U140" i="2" s="1"/>
  <c r="O140" i="2"/>
  <c r="T140" i="2" s="1"/>
  <c r="R148" i="2"/>
  <c r="W148" i="2" s="1"/>
  <c r="Q148" i="2"/>
  <c r="V148" i="2" s="1"/>
  <c r="P148" i="2"/>
  <c r="U148" i="2" s="1"/>
  <c r="N148" i="2"/>
  <c r="S148" i="2" s="1"/>
  <c r="O148" i="2"/>
  <c r="T148" i="2" s="1"/>
  <c r="R50" i="2"/>
  <c r="W50" i="2" s="1"/>
  <c r="Q50" i="2"/>
  <c r="V50" i="2" s="1"/>
  <c r="P50" i="2"/>
  <c r="U50" i="2" s="1"/>
  <c r="N50" i="2"/>
  <c r="S50" i="2" s="1"/>
  <c r="O50" i="2"/>
  <c r="T50" i="2" s="1"/>
  <c r="R168" i="2"/>
  <c r="W168" i="2" s="1"/>
  <c r="P168" i="2"/>
  <c r="U168" i="2" s="1"/>
  <c r="Q168" i="2"/>
  <c r="V168" i="2" s="1"/>
  <c r="N168" i="2"/>
  <c r="S168" i="2" s="1"/>
  <c r="O168" i="2"/>
  <c r="T168" i="2" s="1"/>
  <c r="R145" i="2"/>
  <c r="W145" i="2" s="1"/>
  <c r="Q145" i="2"/>
  <c r="V145" i="2" s="1"/>
  <c r="N145" i="2"/>
  <c r="S145" i="2" s="1"/>
  <c r="P145" i="2"/>
  <c r="U145" i="2" s="1"/>
  <c r="O145" i="2"/>
  <c r="T145" i="2" s="1"/>
  <c r="R118" i="2"/>
  <c r="W118" i="2" s="1"/>
  <c r="Q118" i="2"/>
  <c r="V118" i="2" s="1"/>
  <c r="N118" i="2"/>
  <c r="S118" i="2" s="1"/>
  <c r="P118" i="2"/>
  <c r="U118" i="2" s="1"/>
  <c r="O118" i="2"/>
  <c r="T118" i="2" s="1"/>
  <c r="E240" i="24" s="1" a="1"/>
  <c r="E240" i="24" s="1"/>
  <c r="R116" i="2"/>
  <c r="W116" i="2" s="1"/>
  <c r="N116" i="2"/>
  <c r="S116" i="2" s="1"/>
  <c r="Q116" i="2"/>
  <c r="V116" i="2" s="1"/>
  <c r="O116" i="2"/>
  <c r="T116" i="2" s="1"/>
  <c r="P116" i="2"/>
  <c r="U116" i="2" s="1"/>
  <c r="R115" i="2"/>
  <c r="W115" i="2" s="1"/>
  <c r="P115" i="2"/>
  <c r="U115" i="2" s="1"/>
  <c r="Q115" i="2"/>
  <c r="V115" i="2" s="1"/>
  <c r="N115" i="2"/>
  <c r="S115" i="2" s="1"/>
  <c r="O115" i="2"/>
  <c r="T115" i="2" s="1"/>
  <c r="R121" i="2"/>
  <c r="W121" i="2" s="1"/>
  <c r="Q121" i="2"/>
  <c r="V121" i="2" s="1"/>
  <c r="P121" i="2"/>
  <c r="U121" i="2" s="1"/>
  <c r="N121" i="2"/>
  <c r="S121" i="2" s="1"/>
  <c r="O121" i="2"/>
  <c r="T121" i="2" s="1"/>
  <c r="R22" i="2"/>
  <c r="W22" i="2" s="1"/>
  <c r="P22" i="2"/>
  <c r="U22" i="2" s="1"/>
  <c r="F59" i="24" s="1"/>
  <c r="Q22" i="2"/>
  <c r="V22" i="2" s="1"/>
  <c r="N22" i="2"/>
  <c r="S22" i="2" s="1"/>
  <c r="O22" i="2"/>
  <c r="T22" i="2" s="1"/>
  <c r="E65" i="24" s="1"/>
  <c r="R85" i="2"/>
  <c r="W85" i="2" s="1"/>
  <c r="Q85" i="2"/>
  <c r="V85" i="2" s="1"/>
  <c r="P85" i="2"/>
  <c r="U85" i="2" s="1"/>
  <c r="N85" i="2"/>
  <c r="S85" i="2" s="1"/>
  <c r="O85" i="2"/>
  <c r="T85" i="2" s="1"/>
  <c r="R137" i="2"/>
  <c r="W137" i="2" s="1"/>
  <c r="Q137" i="2"/>
  <c r="V137" i="2" s="1"/>
  <c r="P137" i="2"/>
  <c r="U137" i="2" s="1"/>
  <c r="N137" i="2"/>
  <c r="S137" i="2" s="1"/>
  <c r="O137" i="2"/>
  <c r="T137" i="2" s="1"/>
  <c r="R79" i="2"/>
  <c r="W79" i="2" s="1"/>
  <c r="N79" i="2"/>
  <c r="S79" i="2" s="1"/>
  <c r="Q79" i="2"/>
  <c r="V79" i="2" s="1"/>
  <c r="P79" i="2"/>
  <c r="U79" i="2" s="1"/>
  <c r="O79" i="2"/>
  <c r="T79" i="2" s="1"/>
  <c r="R14" i="2"/>
  <c r="W14" i="2" s="1"/>
  <c r="Q14" i="2"/>
  <c r="V14" i="2" s="1"/>
  <c r="P14" i="2"/>
  <c r="U14" i="2" s="1"/>
  <c r="O14" i="2"/>
  <c r="T14" i="2" s="1"/>
  <c r="N14" i="2"/>
  <c r="S14" i="2" s="1"/>
  <c r="R46" i="2"/>
  <c r="W46" i="2" s="1"/>
  <c r="Q46" i="2"/>
  <c r="V46" i="2" s="1"/>
  <c r="P46" i="2"/>
  <c r="U46" i="2" s="1"/>
  <c r="N46" i="2"/>
  <c r="S46" i="2" s="1"/>
  <c r="O46" i="2"/>
  <c r="T46" i="2" s="1"/>
  <c r="R149" i="2"/>
  <c r="W149" i="2" s="1"/>
  <c r="Q149" i="2"/>
  <c r="V149" i="2" s="1"/>
  <c r="G274" i="24" s="1"/>
  <c r="N149" i="2"/>
  <c r="S149" i="2" s="1"/>
  <c r="P149" i="2"/>
  <c r="U149" i="2" s="1"/>
  <c r="F274" i="24" s="1"/>
  <c r="O149" i="2"/>
  <c r="T149" i="2" s="1"/>
  <c r="V283" i="2"/>
  <c r="U283" i="2"/>
  <c r="W179" i="2"/>
  <c r="V179" i="2"/>
  <c r="U179" i="2"/>
  <c r="R34" i="2"/>
  <c r="W34" i="2" s="1"/>
  <c r="Q34" i="2"/>
  <c r="V34" i="2" s="1"/>
  <c r="P34" i="2"/>
  <c r="U34" i="2" s="1"/>
  <c r="N34" i="2"/>
  <c r="S34" i="2" s="1"/>
  <c r="O34" i="2"/>
  <c r="T34" i="2" s="1"/>
  <c r="R135" i="2"/>
  <c r="W135" i="2" s="1"/>
  <c r="N135" i="2"/>
  <c r="S135" i="2" s="1"/>
  <c r="Q135" i="2"/>
  <c r="V135" i="2" s="1"/>
  <c r="O135" i="2"/>
  <c r="T135" i="2" s="1"/>
  <c r="P135" i="2"/>
  <c r="U135" i="2" s="1"/>
  <c r="V332" i="2"/>
  <c r="W332" i="2"/>
  <c r="U332" i="2"/>
  <c r="S332" i="2"/>
  <c r="R20" i="2"/>
  <c r="W20" i="2" s="1"/>
  <c r="Q20" i="2"/>
  <c r="V20" i="2" s="1"/>
  <c r="N20" i="2"/>
  <c r="S20" i="2" s="1"/>
  <c r="P20" i="2"/>
  <c r="U20" i="2" s="1"/>
  <c r="O20" i="2"/>
  <c r="T20" i="2" s="1"/>
  <c r="R43" i="2"/>
  <c r="W43" i="2" s="1"/>
  <c r="Q43" i="2"/>
  <c r="V43" i="2" s="1"/>
  <c r="P43" i="2"/>
  <c r="U43" i="2" s="1"/>
  <c r="N43" i="2"/>
  <c r="S43" i="2" s="1"/>
  <c r="O43" i="2"/>
  <c r="T43" i="2" s="1"/>
  <c r="R136" i="2"/>
  <c r="W136" i="2" s="1"/>
  <c r="Q136" i="2"/>
  <c r="V136" i="2" s="1"/>
  <c r="N136" i="2"/>
  <c r="S136" i="2" s="1"/>
  <c r="P136" i="2"/>
  <c r="U136" i="2" s="1"/>
  <c r="O136" i="2"/>
  <c r="T136" i="2" s="1"/>
  <c r="W335" i="2"/>
  <c r="S335" i="2"/>
  <c r="V335" i="2"/>
  <c r="U335" i="2"/>
  <c r="T335" i="2"/>
  <c r="R157" i="2"/>
  <c r="W157" i="2" s="1"/>
  <c r="N157" i="2"/>
  <c r="S157" i="2" s="1"/>
  <c r="Q157" i="2"/>
  <c r="V157" i="2" s="1"/>
  <c r="O157" i="2"/>
  <c r="T157" i="2" s="1"/>
  <c r="P157" i="2"/>
  <c r="U157" i="2" s="1"/>
  <c r="R25" i="2"/>
  <c r="W25" i="2" s="1"/>
  <c r="P25" i="2"/>
  <c r="U25" i="2" s="1"/>
  <c r="Q25" i="2"/>
  <c r="V25" i="2" s="1"/>
  <c r="N25" i="2"/>
  <c r="S25" i="2" s="1"/>
  <c r="O25" i="2"/>
  <c r="T25" i="2" s="1"/>
  <c r="R87" i="2"/>
  <c r="W87" i="2" s="1"/>
  <c r="P87" i="2"/>
  <c r="U87" i="2" s="1"/>
  <c r="Q87" i="2"/>
  <c r="V87" i="2" s="1"/>
  <c r="N87" i="2"/>
  <c r="S87" i="2" s="1"/>
  <c r="O87" i="2"/>
  <c r="T87" i="2" s="1"/>
  <c r="W284" i="2"/>
  <c r="S284" i="2"/>
  <c r="V284" i="2"/>
  <c r="T284" i="2"/>
  <c r="U284" i="2"/>
  <c r="R67" i="2"/>
  <c r="W67" i="2" s="1"/>
  <c r="Q67" i="2"/>
  <c r="V67" i="2" s="1"/>
  <c r="N67" i="2"/>
  <c r="S67" i="2" s="1"/>
  <c r="O67" i="2"/>
  <c r="T67" i="2" s="1"/>
  <c r="P67" i="2"/>
  <c r="U67" i="2" s="1"/>
  <c r="V185" i="2"/>
  <c r="R68" i="2"/>
  <c r="W68" i="2" s="1"/>
  <c r="Q68" i="2"/>
  <c r="V68" i="2" s="1"/>
  <c r="P68" i="2"/>
  <c r="U68" i="2" s="1"/>
  <c r="N68" i="2"/>
  <c r="S68" i="2" s="1"/>
  <c r="O68" i="2"/>
  <c r="T68" i="2" s="1"/>
  <c r="W317" i="2"/>
  <c r="S317" i="2"/>
  <c r="W203" i="2"/>
  <c r="U203" i="2"/>
  <c r="V203" i="2"/>
  <c r="Q343" i="2"/>
  <c r="V343" i="2" s="1"/>
  <c r="R343" i="2"/>
  <c r="P343" i="2"/>
  <c r="U343" i="2" s="1"/>
  <c r="N343" i="2"/>
  <c r="S343" i="2" s="1"/>
  <c r="O343" i="2"/>
  <c r="T343" i="2" s="1"/>
  <c r="R63" i="2"/>
  <c r="W63" i="2" s="1"/>
  <c r="Q63" i="2"/>
  <c r="V63" i="2" s="1"/>
  <c r="P63" i="2"/>
  <c r="U63" i="2" s="1"/>
  <c r="N63" i="2"/>
  <c r="S63" i="2" s="1"/>
  <c r="O63" i="2"/>
  <c r="T63" i="2" s="1"/>
  <c r="R61" i="2"/>
  <c r="W61" i="2" s="1"/>
  <c r="Q61" i="2"/>
  <c r="V61" i="2" s="1"/>
  <c r="P61" i="2"/>
  <c r="U61" i="2" s="1"/>
  <c r="N61" i="2"/>
  <c r="S61" i="2" s="1"/>
  <c r="O61" i="2"/>
  <c r="T61" i="2" s="1"/>
  <c r="R19" i="2"/>
  <c r="W19" i="2" s="1"/>
  <c r="P19" i="2"/>
  <c r="U19" i="2" s="1"/>
  <c r="Q19" i="2"/>
  <c r="V19" i="2" s="1"/>
  <c r="N19" i="2"/>
  <c r="S19" i="2" s="1"/>
  <c r="O19" i="2"/>
  <c r="T19" i="2" s="1"/>
  <c r="E55" i="24" s="1"/>
  <c r="R86" i="2"/>
  <c r="W86" i="2" s="1"/>
  <c r="Q86" i="2"/>
  <c r="V86" i="2" s="1"/>
  <c r="N86" i="2"/>
  <c r="S86" i="2" s="1"/>
  <c r="P86" i="2"/>
  <c r="U86" i="2" s="1"/>
  <c r="O86" i="2"/>
  <c r="T86" i="2" s="1"/>
  <c r="W177" i="2"/>
  <c r="U177" i="2"/>
  <c r="V177" i="2"/>
  <c r="S177" i="2"/>
  <c r="T177" i="2"/>
  <c r="P3" i="2"/>
  <c r="U3" i="2" s="1"/>
  <c r="R3" i="2"/>
  <c r="W3" i="2" s="1"/>
  <c r="Q3" i="2"/>
  <c r="V3" i="2" s="1"/>
  <c r="N3" i="2"/>
  <c r="S3" i="2" s="1"/>
  <c r="O3" i="2"/>
  <c r="T3" i="2" s="1"/>
  <c r="R16" i="2"/>
  <c r="W16" i="2" s="1"/>
  <c r="Q16" i="2"/>
  <c r="V16" i="2" s="1"/>
  <c r="G54" i="24" s="1"/>
  <c r="P16" i="2"/>
  <c r="U16" i="2" s="1"/>
  <c r="F54" i="24" s="1"/>
  <c r="N16" i="2"/>
  <c r="S16" i="2" s="1"/>
  <c r="O16" i="2"/>
  <c r="T16" i="2" s="1"/>
  <c r="E54" i="24" s="1"/>
  <c r="R28" i="2"/>
  <c r="W28" i="2" s="1"/>
  <c r="Q28" i="2"/>
  <c r="V28" i="2" s="1"/>
  <c r="P28" i="2"/>
  <c r="U28" i="2" s="1"/>
  <c r="N28" i="2"/>
  <c r="S28" i="2" s="1"/>
  <c r="O28" i="2"/>
  <c r="T28" i="2" s="1"/>
  <c r="U242" i="2"/>
  <c r="V242" i="2"/>
  <c r="S242" i="2"/>
  <c r="T242" i="2"/>
  <c r="R56" i="2"/>
  <c r="W56" i="2" s="1"/>
  <c r="Q56" i="2"/>
  <c r="V56" i="2" s="1"/>
  <c r="P56" i="2"/>
  <c r="U56" i="2" s="1"/>
  <c r="N56" i="2"/>
  <c r="S56" i="2" s="1"/>
  <c r="O56" i="2"/>
  <c r="T56" i="2" s="1"/>
  <c r="R77" i="2"/>
  <c r="W77" i="2" s="1"/>
  <c r="Q77" i="2"/>
  <c r="V77" i="2" s="1"/>
  <c r="N77" i="2"/>
  <c r="S77" i="2" s="1"/>
  <c r="P77" i="2"/>
  <c r="U77" i="2" s="1"/>
  <c r="O77" i="2"/>
  <c r="T77" i="2" s="1"/>
  <c r="S299" i="2"/>
  <c r="V299" i="2"/>
  <c r="U299" i="2"/>
  <c r="T299" i="2"/>
  <c r="R129" i="2"/>
  <c r="W129" i="2" s="1"/>
  <c r="Q129" i="2"/>
  <c r="V129" i="2" s="1"/>
  <c r="N129" i="2"/>
  <c r="S129" i="2" s="1"/>
  <c r="P129" i="2"/>
  <c r="U129" i="2" s="1"/>
  <c r="O129" i="2"/>
  <c r="T129" i="2" s="1"/>
  <c r="R139" i="2"/>
  <c r="W139" i="2" s="1"/>
  <c r="N139" i="2"/>
  <c r="S139" i="2" s="1"/>
  <c r="Q139" i="2"/>
  <c r="V139" i="2" s="1"/>
  <c r="O139" i="2"/>
  <c r="T139" i="2" s="1"/>
  <c r="P139" i="2"/>
  <c r="U139" i="2" s="1"/>
  <c r="R151" i="2"/>
  <c r="W151" i="2" s="1"/>
  <c r="N151" i="2"/>
  <c r="S151" i="2" s="1"/>
  <c r="Q151" i="2"/>
  <c r="V151" i="2" s="1"/>
  <c r="O151" i="2"/>
  <c r="T151" i="2" s="1"/>
  <c r="P151" i="2"/>
  <c r="U151" i="2" s="1"/>
  <c r="R2" i="2"/>
  <c r="W2" i="2" s="1"/>
  <c r="Q2" i="2"/>
  <c r="V2" i="2" s="1"/>
  <c r="P2" i="2"/>
  <c r="U2" i="2" s="1"/>
  <c r="O2" i="2"/>
  <c r="T2" i="2" s="1"/>
  <c r="N2" i="2"/>
  <c r="S2" i="2" s="1"/>
  <c r="R26" i="2"/>
  <c r="W26" i="2" s="1"/>
  <c r="Q26" i="2"/>
  <c r="V26" i="2" s="1"/>
  <c r="N26" i="2"/>
  <c r="S26" i="2" s="1"/>
  <c r="P26" i="2"/>
  <c r="U26" i="2" s="1"/>
  <c r="O26" i="2"/>
  <c r="T26" i="2" s="1"/>
  <c r="E88" i="24" s="1"/>
  <c r="W230" i="2"/>
  <c r="V230" i="2"/>
  <c r="U230" i="2"/>
  <c r="T230" i="2"/>
  <c r="R44" i="2"/>
  <c r="W44" i="2" s="1"/>
  <c r="P44" i="2"/>
  <c r="U44" i="2" s="1"/>
  <c r="Q44" i="2"/>
  <c r="V44" i="2" s="1"/>
  <c r="N44" i="2"/>
  <c r="S44" i="2" s="1"/>
  <c r="O44" i="2"/>
  <c r="T44" i="2" s="1"/>
  <c r="R82" i="2"/>
  <c r="W82" i="2" s="1"/>
  <c r="P82" i="2"/>
  <c r="U82" i="2" s="1"/>
  <c r="Q82" i="2"/>
  <c r="V82" i="2" s="1"/>
  <c r="N82" i="2"/>
  <c r="S82" i="2" s="1"/>
  <c r="O82" i="2"/>
  <c r="T82" i="2" s="1"/>
  <c r="R108" i="2"/>
  <c r="W108" i="2" s="1"/>
  <c r="Q108" i="2"/>
  <c r="V108" i="2" s="1"/>
  <c r="N108" i="2"/>
  <c r="S108" i="2" s="1"/>
  <c r="P108" i="2"/>
  <c r="U108" i="2" s="1"/>
  <c r="O108" i="2"/>
  <c r="T108" i="2" s="1"/>
  <c r="R133" i="2"/>
  <c r="W133" i="2" s="1"/>
  <c r="Q133" i="2"/>
  <c r="V133" i="2" s="1"/>
  <c r="N133" i="2"/>
  <c r="S133" i="2" s="1"/>
  <c r="P133" i="2"/>
  <c r="U133" i="2" s="1"/>
  <c r="O133" i="2"/>
  <c r="T133" i="2" s="1"/>
  <c r="R143" i="2"/>
  <c r="W143" i="2" s="1"/>
  <c r="P143" i="2"/>
  <c r="U143" i="2" s="1"/>
  <c r="Q143" i="2"/>
  <c r="V143" i="2" s="1"/>
  <c r="N143" i="2"/>
  <c r="S143" i="2" s="1"/>
  <c r="O143" i="2"/>
  <c r="T143" i="2" s="1"/>
  <c r="R152" i="2"/>
  <c r="W152" i="2" s="1"/>
  <c r="Q152" i="2"/>
  <c r="V152" i="2" s="1"/>
  <c r="N152" i="2"/>
  <c r="S152" i="2" s="1"/>
  <c r="P152" i="2"/>
  <c r="U152" i="2" s="1"/>
  <c r="O152" i="2"/>
  <c r="T152" i="2" s="1"/>
  <c r="R64" i="2"/>
  <c r="W64" i="2" s="1"/>
  <c r="Q64" i="2"/>
  <c r="V64" i="2" s="1"/>
  <c r="P64" i="2"/>
  <c r="U64" i="2" s="1"/>
  <c r="N64" i="2"/>
  <c r="S64" i="2" s="1"/>
  <c r="O64" i="2"/>
  <c r="T64" i="2" s="1"/>
  <c r="R88" i="2"/>
  <c r="W88" i="2" s="1"/>
  <c r="N88" i="2"/>
  <c r="S88" i="2" s="1"/>
  <c r="Q88" i="2"/>
  <c r="V88" i="2" s="1"/>
  <c r="O88" i="2"/>
  <c r="T88" i="2" s="1"/>
  <c r="P88" i="2"/>
  <c r="U88" i="2" s="1"/>
  <c r="R103" i="2"/>
  <c r="W103" i="2" s="1"/>
  <c r="Q103" i="2"/>
  <c r="V103" i="2" s="1"/>
  <c r="N103" i="2"/>
  <c r="S103" i="2" s="1"/>
  <c r="P103" i="2"/>
  <c r="U103" i="2" s="1"/>
  <c r="O103" i="2"/>
  <c r="T103" i="2" s="1"/>
  <c r="R117" i="2"/>
  <c r="W117" i="2" s="1"/>
  <c r="Q117" i="2"/>
  <c r="V117" i="2" s="1"/>
  <c r="P117" i="2"/>
  <c r="U117" i="2" s="1"/>
  <c r="N117" i="2"/>
  <c r="S117" i="2" s="1"/>
  <c r="O117" i="2"/>
  <c r="T117" i="2" s="1"/>
  <c r="R105" i="2"/>
  <c r="W105" i="2" s="1"/>
  <c r="P105" i="2"/>
  <c r="U105" i="2" s="1"/>
  <c r="Q105" i="2"/>
  <c r="V105" i="2" s="1"/>
  <c r="N105" i="2"/>
  <c r="S105" i="2" s="1"/>
  <c r="O105" i="2"/>
  <c r="T105" i="2" s="1"/>
  <c r="R104" i="2"/>
  <c r="W104" i="2" s="1"/>
  <c r="Q104" i="2"/>
  <c r="V104" i="2" s="1"/>
  <c r="P104" i="2"/>
  <c r="U104" i="2" s="1"/>
  <c r="N104" i="2"/>
  <c r="S104" i="2" s="1"/>
  <c r="O104" i="2"/>
  <c r="T104" i="2" s="1"/>
  <c r="R109" i="2"/>
  <c r="W109" i="2" s="1"/>
  <c r="Q109" i="2"/>
  <c r="V109" i="2" s="1"/>
  <c r="N109" i="2"/>
  <c r="S109" i="2" s="1"/>
  <c r="P109" i="2"/>
  <c r="U109" i="2" s="1"/>
  <c r="O109" i="2"/>
  <c r="T109" i="2" s="1"/>
  <c r="R72" i="2"/>
  <c r="W72" i="2" s="1"/>
  <c r="Q72" i="2"/>
  <c r="V72" i="2" s="1"/>
  <c r="N72" i="2"/>
  <c r="S72" i="2" s="1"/>
  <c r="P72" i="2"/>
  <c r="U72" i="2" s="1"/>
  <c r="O72" i="2"/>
  <c r="T72" i="2" s="1"/>
  <c r="R95" i="2"/>
  <c r="W95" i="2" s="1"/>
  <c r="N95" i="2"/>
  <c r="S95" i="2" s="1"/>
  <c r="Q95" i="2"/>
  <c r="V95" i="2" s="1"/>
  <c r="P95" i="2"/>
  <c r="U95" i="2" s="1"/>
  <c r="O95" i="2"/>
  <c r="T95" i="2" s="1"/>
  <c r="R90" i="2"/>
  <c r="W90" i="2" s="1"/>
  <c r="Q90" i="2"/>
  <c r="V90" i="2" s="1"/>
  <c r="P90" i="2"/>
  <c r="U90" i="2" s="1"/>
  <c r="N90" i="2"/>
  <c r="S90" i="2" s="1"/>
  <c r="O90" i="2"/>
  <c r="T90" i="2" s="1"/>
  <c r="R92" i="2"/>
  <c r="W92" i="2" s="1"/>
  <c r="N92" i="2"/>
  <c r="S92" i="2" s="1"/>
  <c r="Q92" i="2"/>
  <c r="V92" i="2" s="1"/>
  <c r="O92" i="2"/>
  <c r="T92" i="2" s="1"/>
  <c r="P92" i="2"/>
  <c r="U92" i="2" s="1"/>
  <c r="S224" i="2"/>
  <c r="U224" i="2"/>
  <c r="T224" i="2"/>
  <c r="R80" i="2"/>
  <c r="W80" i="2" s="1"/>
  <c r="Q80" i="2"/>
  <c r="V80" i="2" s="1"/>
  <c r="N80" i="2"/>
  <c r="S80" i="2" s="1"/>
  <c r="P80" i="2"/>
  <c r="U80" i="2" s="1"/>
  <c r="O80" i="2"/>
  <c r="T80" i="2" s="1"/>
  <c r="W223" i="2"/>
  <c r="V223" i="2"/>
  <c r="T223" i="2"/>
  <c r="R93" i="2"/>
  <c r="W93" i="2" s="1"/>
  <c r="Q93" i="2"/>
  <c r="V93" i="2" s="1"/>
  <c r="N93" i="2"/>
  <c r="S93" i="2" s="1"/>
  <c r="P93" i="2"/>
  <c r="U93" i="2" s="1"/>
  <c r="O93" i="2"/>
  <c r="T93" i="2" s="1"/>
  <c r="R150" i="2"/>
  <c r="W150" i="2" s="1"/>
  <c r="P150" i="2"/>
  <c r="U150" i="2" s="1"/>
  <c r="Q150" i="2"/>
  <c r="V150" i="2" s="1"/>
  <c r="N150" i="2"/>
  <c r="S150" i="2" s="1"/>
  <c r="O150" i="2"/>
  <c r="T150" i="2" s="1"/>
  <c r="W189" i="2"/>
  <c r="U189" i="2"/>
  <c r="V189" i="2"/>
  <c r="W255" i="2"/>
  <c r="U255" i="2"/>
  <c r="W310" i="2"/>
  <c r="S310" i="2"/>
  <c r="V310" i="2"/>
  <c r="U310" i="2"/>
  <c r="T310" i="2"/>
  <c r="V338" i="2"/>
  <c r="W338" i="2"/>
  <c r="S338" i="2"/>
  <c r="T338" i="2"/>
  <c r="U221" i="2"/>
  <c r="F81" i="24" s="1"/>
  <c r="V221" i="2"/>
  <c r="G81" i="24" s="1"/>
  <c r="S221" i="2"/>
  <c r="T221" i="2"/>
  <c r="E81" i="24" s="1"/>
  <c r="W289" i="2"/>
  <c r="V289" i="2"/>
  <c r="U289" i="2"/>
  <c r="S289" i="2"/>
  <c r="T289" i="2"/>
  <c r="S311" i="2"/>
  <c r="T311" i="2"/>
  <c r="R127" i="2"/>
  <c r="W127" i="2" s="1"/>
  <c r="N127" i="2"/>
  <c r="S127" i="2" s="1"/>
  <c r="Q127" i="2"/>
  <c r="V127" i="2" s="1"/>
  <c r="P127" i="2"/>
  <c r="U127" i="2" s="1"/>
  <c r="O127" i="2"/>
  <c r="T127" i="2" s="1"/>
  <c r="R164" i="2"/>
  <c r="W164" i="2" s="1"/>
  <c r="P164" i="2"/>
  <c r="U164" i="2" s="1"/>
  <c r="Q164" i="2"/>
  <c r="V164" i="2" s="1"/>
  <c r="N164" i="2"/>
  <c r="S164" i="2" s="1"/>
  <c r="O164" i="2"/>
  <c r="T164" i="2" s="1"/>
  <c r="R98" i="2"/>
  <c r="W98" i="2" s="1"/>
  <c r="Q98" i="2"/>
  <c r="V98" i="2" s="1"/>
  <c r="N98" i="2"/>
  <c r="S98" i="2" s="1"/>
  <c r="P98" i="2"/>
  <c r="U98" i="2" s="1"/>
  <c r="O98" i="2"/>
  <c r="T98" i="2" s="1"/>
  <c r="E296" i="24" s="1" a="1"/>
  <c r="E296" i="24" s="1"/>
  <c r="R112" i="2"/>
  <c r="W112" i="2" s="1"/>
  <c r="N112" i="2"/>
  <c r="S112" i="2" s="1"/>
  <c r="Q112" i="2"/>
  <c r="V112" i="2" s="1"/>
  <c r="P112" i="2"/>
  <c r="U112" i="2" s="1"/>
  <c r="O112" i="2"/>
  <c r="T112" i="2" s="1"/>
  <c r="W333" i="2"/>
  <c r="V333" i="2"/>
  <c r="U333" i="2"/>
  <c r="R66" i="2"/>
  <c r="W66" i="2" s="1"/>
  <c r="Q66" i="2"/>
  <c r="V66" i="2" s="1"/>
  <c r="P66" i="2"/>
  <c r="U66" i="2" s="1"/>
  <c r="N66" i="2"/>
  <c r="S66" i="2" s="1"/>
  <c r="O66" i="2"/>
  <c r="T66" i="2" s="1"/>
  <c r="W263" i="2"/>
  <c r="U263" i="2"/>
  <c r="S263" i="2"/>
  <c r="T263" i="2"/>
  <c r="R144" i="2"/>
  <c r="W144" i="2" s="1"/>
  <c r="N144" i="2"/>
  <c r="S144" i="2" s="1"/>
  <c r="Q144" i="2"/>
  <c r="V144" i="2" s="1"/>
  <c r="P144" i="2"/>
  <c r="U144" i="2" s="1"/>
  <c r="O144" i="2"/>
  <c r="T144" i="2" s="1"/>
  <c r="V327" i="2"/>
  <c r="U327" i="2"/>
  <c r="S327" i="2"/>
  <c r="T327" i="2"/>
  <c r="W321" i="2"/>
  <c r="S321" i="2"/>
  <c r="T321" i="2"/>
  <c r="R9" i="2"/>
  <c r="W9" i="2" s="1"/>
  <c r="Q9" i="2"/>
  <c r="V9" i="2" s="1"/>
  <c r="P9" i="2"/>
  <c r="U9" i="2" s="1"/>
  <c r="N9" i="2"/>
  <c r="S9" i="2" s="1"/>
  <c r="O9" i="2"/>
  <c r="T9" i="2" s="1"/>
  <c r="R35" i="2"/>
  <c r="W35" i="2" s="1"/>
  <c r="Q35" i="2"/>
  <c r="V35" i="2" s="1"/>
  <c r="P35" i="2"/>
  <c r="U35" i="2" s="1"/>
  <c r="N35" i="2"/>
  <c r="S35" i="2" s="1"/>
  <c r="O35" i="2"/>
  <c r="T35" i="2" s="1"/>
  <c r="R58" i="2"/>
  <c r="W58" i="2" s="1"/>
  <c r="Q58" i="2"/>
  <c r="V58" i="2" s="1"/>
  <c r="N58" i="2"/>
  <c r="S58" i="2" s="1"/>
  <c r="O58" i="2"/>
  <c r="T58" i="2" s="1"/>
  <c r="P58" i="2"/>
  <c r="U58" i="2" s="1"/>
  <c r="T246" i="2"/>
  <c r="W246" i="2"/>
  <c r="U246" i="2"/>
  <c r="V246" i="2"/>
  <c r="S246" i="2"/>
  <c r="N5" i="2"/>
  <c r="S5" i="2" s="1"/>
  <c r="P5" i="2"/>
  <c r="U5" i="2" s="1"/>
  <c r="F4" i="24" s="1"/>
  <c r="Q5" i="2"/>
  <c r="V5" i="2" s="1"/>
  <c r="O5" i="2"/>
  <c r="T5" i="2" s="1"/>
  <c r="R5" i="2"/>
  <c r="W5" i="2" s="1"/>
  <c r="Q8" i="2"/>
  <c r="V8" i="2" s="1"/>
  <c r="N8" i="2"/>
  <c r="S8" i="2" s="1"/>
  <c r="O8" i="2"/>
  <c r="T8" i="2" s="1"/>
  <c r="R8" i="2"/>
  <c r="W8" i="2" s="1"/>
  <c r="P8" i="2"/>
  <c r="U8" i="2" s="1"/>
  <c r="D131" i="24"/>
  <c r="D134" i="24" s="1"/>
  <c r="H134" i="24" s="1"/>
  <c r="I134" i="24" s="1"/>
  <c r="D145" i="24"/>
  <c r="H145" i="24" s="1"/>
  <c r="I145" i="24" s="1"/>
  <c r="D282" i="24"/>
  <c r="H282" i="24" s="1"/>
  <c r="I282" i="24" s="1"/>
  <c r="D144" i="24"/>
  <c r="H144" i="24" s="1"/>
  <c r="I144" i="24" s="1"/>
  <c r="D40" i="24"/>
  <c r="H40" i="24" s="1"/>
  <c r="I40" i="24" s="1"/>
  <c r="D26" i="24"/>
  <c r="H26" i="24" s="1"/>
  <c r="I26" i="24" s="1"/>
  <c r="D316" i="24"/>
  <c r="D312" i="24" s="1"/>
  <c r="H312" i="24" s="1"/>
  <c r="I312" i="24" s="1"/>
  <c r="D325" i="24"/>
  <c r="H325" i="24" s="1"/>
  <c r="I325" i="24" s="1"/>
  <c r="D98" i="24"/>
  <c r="D101" i="24" s="1"/>
  <c r="H101" i="24" s="1"/>
  <c r="I101" i="24" s="1"/>
  <c r="D81" i="24"/>
  <c r="D79" i="24" s="1"/>
  <c r="H79" i="24" s="1"/>
  <c r="I79" i="24" s="1"/>
  <c r="D297" i="24"/>
  <c r="D298" i="24" s="1"/>
  <c r="H298" i="24" s="1"/>
  <c r="I298" i="24" s="1"/>
  <c r="D346" i="24"/>
  <c r="D321" i="24"/>
  <c r="D326" i="24" s="1"/>
  <c r="H326" i="24" s="1"/>
  <c r="I326" i="24" s="1"/>
  <c r="D239" i="24"/>
  <c r="H239" i="24" s="1"/>
  <c r="I239" i="24" s="1"/>
  <c r="D176" i="24"/>
  <c r="H176" i="24" s="1"/>
  <c r="I176" i="24" s="1"/>
  <c r="D360" i="24"/>
  <c r="H360" i="24" s="1"/>
  <c r="I360" i="24" s="1"/>
  <c r="D271" i="24"/>
  <c r="H271" i="24" s="1"/>
  <c r="I271" i="24" s="1"/>
  <c r="D179" i="24"/>
  <c r="H179" i="24" s="1"/>
  <c r="I179" i="24" s="1"/>
  <c r="H112" i="24"/>
  <c r="I112" i="24" s="1"/>
  <c r="D118" i="24"/>
  <c r="H118" i="24" s="1"/>
  <c r="I118" i="24" s="1"/>
  <c r="D264" i="24"/>
  <c r="H264" i="24" s="1"/>
  <c r="I264" i="24" s="1"/>
  <c r="D279" i="24"/>
  <c r="H279" i="24" s="1"/>
  <c r="I279" i="24" s="1"/>
  <c r="D323" i="24"/>
  <c r="H323" i="24" s="1"/>
  <c r="I323" i="24" s="1"/>
  <c r="D65" i="24"/>
  <c r="H65" i="24" s="1"/>
  <c r="I65" i="24" s="1"/>
  <c r="H100" i="24"/>
  <c r="I100" i="24" s="1"/>
  <c r="D291" i="24"/>
  <c r="H291" i="24" s="1"/>
  <c r="I291" i="24" s="1"/>
  <c r="D233" i="24"/>
  <c r="H233" i="24" s="1"/>
  <c r="I233" i="24" s="1"/>
  <c r="D269" i="24"/>
  <c r="H269" i="24" s="1"/>
  <c r="I269" i="24" s="1"/>
  <c r="D293" i="24"/>
  <c r="H293" i="24" s="1"/>
  <c r="I293" i="24" s="1"/>
  <c r="D275" i="24"/>
  <c r="H275" i="24" s="1"/>
  <c r="I275" i="24" s="1"/>
  <c r="D200" i="24"/>
  <c r="H200" i="24" s="1"/>
  <c r="I200" i="24" s="1"/>
  <c r="D202" i="24"/>
  <c r="H202" i="24" s="1"/>
  <c r="I202" i="24" s="1"/>
  <c r="D27" i="24"/>
  <c r="H27" i="24" s="1"/>
  <c r="I27" i="24" s="1"/>
  <c r="D217" i="24"/>
  <c r="H217" i="24" s="1"/>
  <c r="I217" i="24" s="1"/>
  <c r="H54" i="24"/>
  <c r="I54" i="24" s="1"/>
  <c r="D270" i="24"/>
  <c r="H270" i="24" s="1"/>
  <c r="I270" i="24" s="1"/>
  <c r="D166" i="24"/>
  <c r="H166" i="24" s="1"/>
  <c r="I166" i="24" s="1"/>
  <c r="D66" i="24"/>
  <c r="H66" i="24" s="1"/>
  <c r="I66" i="24" s="1"/>
  <c r="D28" i="24"/>
  <c r="H28" i="24" s="1"/>
  <c r="I28" i="24" s="1"/>
  <c r="D143" i="24"/>
  <c r="H143" i="24" s="1"/>
  <c r="I143" i="24" s="1"/>
  <c r="M159" i="2"/>
  <c r="L156" i="2"/>
  <c r="M156" i="2" s="1"/>
  <c r="L155" i="2"/>
  <c r="M155" i="2" s="1"/>
  <c r="D353" i="24"/>
  <c r="H353" i="24" s="1"/>
  <c r="I353" i="24" s="1"/>
  <c r="D189" i="24"/>
  <c r="H189" i="24" s="1"/>
  <c r="I189" i="24" s="1"/>
  <c r="D41" i="24"/>
  <c r="H41" i="24" s="1"/>
  <c r="I41" i="24" s="1"/>
  <c r="E198" i="24" a="1"/>
  <c r="E198" i="24" s="1"/>
  <c r="D201" i="24"/>
  <c r="H201" i="24" s="1"/>
  <c r="I201" i="24" s="1"/>
  <c r="D199" i="24"/>
  <c r="H199" i="24" s="1"/>
  <c r="I199" i="24" s="1"/>
  <c r="D292" i="24"/>
  <c r="H292" i="24" s="1"/>
  <c r="I292" i="24" s="1"/>
  <c r="D362" i="24"/>
  <c r="D211" i="24"/>
  <c r="D253" i="24"/>
  <c r="H253" i="24" s="1"/>
  <c r="I253" i="24" s="1"/>
  <c r="D250" i="24"/>
  <c r="H250" i="24" s="1"/>
  <c r="I250" i="24" s="1"/>
  <c r="D318" i="24"/>
  <c r="H318" i="24" s="1"/>
  <c r="I318" i="24" s="1"/>
  <c r="D278" i="24"/>
  <c r="H278" i="24" s="1"/>
  <c r="I278" i="24" s="1"/>
  <c r="D273" i="24"/>
  <c r="H273" i="24" s="1"/>
  <c r="I273" i="24" s="1"/>
  <c r="D268" i="24"/>
  <c r="H268" i="24" s="1"/>
  <c r="I268" i="24" s="1"/>
  <c r="D263" i="24"/>
  <c r="H263" i="24" s="1"/>
  <c r="I263" i="24" s="1"/>
  <c r="D337" i="24"/>
  <c r="D317" i="24"/>
  <c r="H317" i="24" s="1"/>
  <c r="I317" i="24" s="1"/>
  <c r="D315" i="24"/>
  <c r="H315" i="24" s="1"/>
  <c r="I315" i="24" s="1"/>
  <c r="D248" i="24"/>
  <c r="D190" i="24"/>
  <c r="D191" i="24" s="1"/>
  <c r="H313" i="24"/>
  <c r="I313" i="24" s="1"/>
  <c r="F32" i="6"/>
  <c r="D227" i="24" s="1"/>
  <c r="D226" i="24" s="1"/>
  <c r="H226" i="24" s="1"/>
  <c r="I226" i="24" s="1"/>
  <c r="D218" i="24"/>
  <c r="D266" i="24"/>
  <c r="H266" i="24" s="1"/>
  <c r="I266" i="24" s="1"/>
  <c r="D265" i="24"/>
  <c r="H265" i="24" s="1"/>
  <c r="I265" i="24" s="1"/>
  <c r="D295" i="24"/>
  <c r="H295" i="24" s="1"/>
  <c r="I295" i="24" s="1"/>
  <c r="D294" i="24"/>
  <c r="H294" i="24" s="1"/>
  <c r="I294" i="24" s="1"/>
  <c r="D276" i="24"/>
  <c r="H276" i="24" s="1"/>
  <c r="I276" i="24" s="1"/>
  <c r="D194" i="24"/>
  <c r="H194" i="24" s="1"/>
  <c r="I194" i="24" s="1"/>
  <c r="D300" i="24"/>
  <c r="H300" i="24" s="1"/>
  <c r="I300" i="24" s="1"/>
  <c r="D310" i="24"/>
  <c r="H310" i="24" s="1"/>
  <c r="I310" i="24" s="1"/>
  <c r="D277" i="24"/>
  <c r="H277" i="24" s="1"/>
  <c r="I277" i="24" s="1"/>
  <c r="D314" i="24"/>
  <c r="H314" i="24" s="1"/>
  <c r="I314" i="24" s="1"/>
  <c r="D238" i="24"/>
  <c r="H238" i="24" s="1"/>
  <c r="I238" i="24" s="1"/>
  <c r="D244" i="24"/>
  <c r="H244" i="24" s="1"/>
  <c r="I244" i="24" s="1"/>
  <c r="D243" i="24"/>
  <c r="H243" i="24" s="1"/>
  <c r="I243" i="24" s="1"/>
  <c r="D241" i="24"/>
  <c r="H241" i="24" s="1"/>
  <c r="I241" i="24" s="1"/>
  <c r="D246" i="24"/>
  <c r="H246" i="24" s="1"/>
  <c r="I246" i="24" s="1"/>
  <c r="D245" i="24"/>
  <c r="H245" i="24" s="1"/>
  <c r="I245" i="24" s="1"/>
  <c r="D254" i="24"/>
  <c r="H254" i="24" s="1"/>
  <c r="I254" i="24" s="1"/>
  <c r="D251" i="24"/>
  <c r="H251" i="24" s="1"/>
  <c r="I251" i="24" s="1"/>
  <c r="D196" i="24"/>
  <c r="H196" i="24" s="1"/>
  <c r="I196" i="24" s="1"/>
  <c r="H195" i="24"/>
  <c r="I195" i="24" s="1"/>
  <c r="D193" i="24"/>
  <c r="H193" i="24" s="1"/>
  <c r="I193" i="24" s="1"/>
  <c r="D280" i="24"/>
  <c r="H280" i="24" s="1"/>
  <c r="I280" i="24" s="1"/>
  <c r="D274" i="24"/>
  <c r="H274" i="24" s="1"/>
  <c r="I274" i="24" s="1"/>
  <c r="D331" i="24"/>
  <c r="D206" i="24"/>
  <c r="H206" i="24" s="1"/>
  <c r="I206" i="24" s="1"/>
  <c r="D285" i="24"/>
  <c r="D230" i="24"/>
  <c r="H230" i="24" s="1"/>
  <c r="I230" i="24" s="1"/>
  <c r="D309" i="24"/>
  <c r="H309" i="24" s="1"/>
  <c r="I309" i="24" s="1"/>
  <c r="D307" i="24"/>
  <c r="H307" i="24" s="1"/>
  <c r="I307" i="24" s="1"/>
  <c r="D205" i="24"/>
  <c r="H205" i="24" s="1"/>
  <c r="I205" i="24" s="1"/>
  <c r="H352" i="24"/>
  <c r="I352" i="24" s="1"/>
  <c r="D247" i="24"/>
  <c r="H247" i="24" s="1"/>
  <c r="I247" i="24" s="1"/>
  <c r="D324" i="24"/>
  <c r="H324" i="24" s="1"/>
  <c r="I324" i="24" s="1"/>
  <c r="D322" i="24"/>
  <c r="H322" i="24" s="1"/>
  <c r="I322" i="24" s="1"/>
  <c r="D242" i="24"/>
  <c r="H242" i="24" s="1"/>
  <c r="I242" i="24" s="1"/>
  <c r="D232" i="24"/>
  <c r="H232" i="24" s="1"/>
  <c r="I232" i="24" s="1"/>
  <c r="D231" i="24"/>
  <c r="H231" i="24" s="1"/>
  <c r="I231" i="24" s="1"/>
  <c r="D174" i="24"/>
  <c r="H174" i="24" s="1"/>
  <c r="I174" i="24" s="1"/>
  <c r="D203" i="24"/>
  <c r="H203" i="24" s="1"/>
  <c r="I203" i="24" s="1"/>
  <c r="D204" i="24"/>
  <c r="H204" i="24" s="1"/>
  <c r="I204" i="24" s="1"/>
  <c r="D283" i="24"/>
  <c r="H283" i="24" s="1"/>
  <c r="I283" i="24" s="1"/>
  <c r="D178" i="24"/>
  <c r="D175" i="24"/>
  <c r="H175" i="24" s="1"/>
  <c r="I175" i="24" s="1"/>
  <c r="D289" i="24"/>
  <c r="H289" i="24" s="1"/>
  <c r="I289" i="24" s="1"/>
  <c r="D237" i="24"/>
  <c r="H237" i="24" s="1"/>
  <c r="I237" i="24" s="1"/>
  <c r="D236" i="24"/>
  <c r="H236" i="24" s="1"/>
  <c r="I236" i="24" s="1"/>
  <c r="D208" i="24"/>
  <c r="H208" i="24" s="1"/>
  <c r="I208" i="24" s="1"/>
  <c r="D235" i="24"/>
  <c r="H235" i="24" s="1"/>
  <c r="I235" i="24" s="1"/>
  <c r="D213" i="24"/>
  <c r="H213" i="24" s="1"/>
  <c r="I213" i="24" s="1"/>
  <c r="D207" i="24"/>
  <c r="D272" i="24"/>
  <c r="H272" i="24" s="1"/>
  <c r="I272" i="24" s="1"/>
  <c r="D354" i="24"/>
  <c r="D301" i="24"/>
  <c r="H301" i="24" s="1"/>
  <c r="I301" i="24" s="1"/>
  <c r="D303" i="24"/>
  <c r="H303" i="24" s="1"/>
  <c r="I303" i="24" s="1"/>
  <c r="D281" i="24"/>
  <c r="D267" i="24"/>
  <c r="H267" i="24" s="1"/>
  <c r="I267" i="24" s="1"/>
  <c r="D262" i="24"/>
  <c r="H262" i="24" s="1"/>
  <c r="I262" i="24" s="1"/>
  <c r="D363" i="24"/>
  <c r="H363" i="24" s="1"/>
  <c r="I363" i="24" s="1"/>
  <c r="D308" i="24"/>
  <c r="H308" i="24" s="1"/>
  <c r="I308" i="24" s="1"/>
  <c r="D357" i="24"/>
  <c r="H357" i="24" s="1"/>
  <c r="I357" i="24" s="1"/>
  <c r="D356" i="24"/>
  <c r="H356" i="24" s="1"/>
  <c r="I356" i="24" s="1"/>
  <c r="F29" i="6"/>
  <c r="D150" i="24" s="1"/>
  <c r="H150" i="24" s="1"/>
  <c r="I150" i="24" s="1"/>
  <c r="D168" i="24"/>
  <c r="H168" i="24" s="1"/>
  <c r="I168" i="24" s="1"/>
  <c r="F27" i="6"/>
  <c r="D161" i="24" s="1"/>
  <c r="D159" i="24"/>
  <c r="D160" i="24" s="1"/>
  <c r="H171" i="24"/>
  <c r="I171" i="24" s="1"/>
  <c r="E167" i="24" a="1"/>
  <c r="E167" i="24" s="1"/>
  <c r="D165" i="24"/>
  <c r="H165" i="24" s="1"/>
  <c r="I165" i="24" s="1"/>
  <c r="D172" i="24"/>
  <c r="H172" i="24" s="1"/>
  <c r="I172" i="24" s="1"/>
  <c r="H153" i="24"/>
  <c r="I153" i="24" s="1"/>
  <c r="D157" i="24"/>
  <c r="D141" i="24"/>
  <c r="D147" i="24"/>
  <c r="H147" i="24" s="1"/>
  <c r="I147" i="24" s="1"/>
  <c r="D83" i="24"/>
  <c r="H83" i="24" s="1"/>
  <c r="I83" i="24" s="1"/>
  <c r="D89" i="24"/>
  <c r="H89" i="24" s="1"/>
  <c r="I89" i="24" s="1"/>
  <c r="D80" i="24"/>
  <c r="H80" i="24" s="1"/>
  <c r="I80" i="24" s="1"/>
  <c r="D74" i="24"/>
  <c r="H74" i="24" s="1"/>
  <c r="I74" i="24" s="1"/>
  <c r="D84" i="24"/>
  <c r="H84" i="24" s="1"/>
  <c r="I84" i="24" s="1"/>
  <c r="D126" i="24"/>
  <c r="H126" i="24" s="1"/>
  <c r="I126" i="24" s="1"/>
  <c r="D125" i="24"/>
  <c r="H125" i="24" s="1"/>
  <c r="I125" i="24" s="1"/>
  <c r="F36" i="6"/>
  <c r="D17" i="24" s="1"/>
  <c r="H17" i="24" s="1"/>
  <c r="I17" i="24" s="1"/>
  <c r="H113" i="24"/>
  <c r="I113" i="24" s="1"/>
  <c r="F11" i="6"/>
  <c r="D63" i="24"/>
  <c r="D75" i="24"/>
  <c r="D88" i="24"/>
  <c r="H88" i="24" s="1"/>
  <c r="I88" i="24" s="1"/>
  <c r="H4" i="24"/>
  <c r="I4" i="24" s="1"/>
  <c r="D124" i="24"/>
  <c r="H124" i="24" s="1"/>
  <c r="I124" i="24" s="1"/>
  <c r="D123" i="24"/>
  <c r="H123" i="24" s="1"/>
  <c r="I123" i="24" s="1"/>
  <c r="D2" i="24"/>
  <c r="D121" i="24"/>
  <c r="H121" i="24" s="1"/>
  <c r="I121" i="24" s="1"/>
  <c r="D122" i="24"/>
  <c r="H122" i="24" s="1"/>
  <c r="I122" i="24" s="1"/>
  <c r="D119" i="24"/>
  <c r="H119" i="24" s="1"/>
  <c r="I119" i="24" s="1"/>
  <c r="D56" i="24"/>
  <c r="H56" i="24" s="1"/>
  <c r="I56" i="24" s="1"/>
  <c r="D120" i="24"/>
  <c r="H120" i="24" s="1"/>
  <c r="I120" i="24" s="1"/>
  <c r="D6" i="24"/>
  <c r="H6" i="24" s="1"/>
  <c r="I6" i="24" s="1"/>
  <c r="D9" i="24"/>
  <c r="H9" i="24" s="1"/>
  <c r="I9" i="24" s="1"/>
  <c r="D136" i="24"/>
  <c r="H136" i="24" s="1"/>
  <c r="I136" i="24" s="1"/>
  <c r="D137" i="24"/>
  <c r="H137" i="24" s="1"/>
  <c r="I137" i="24" s="1"/>
  <c r="D117" i="24"/>
  <c r="H117" i="24" s="1"/>
  <c r="I117" i="24" s="1"/>
  <c r="D29" i="24"/>
  <c r="D82" i="24"/>
  <c r="H82" i="24" s="1"/>
  <c r="I82" i="24" s="1"/>
  <c r="D3" i="24"/>
  <c r="H3" i="24" s="1"/>
  <c r="I3" i="24" s="1"/>
  <c r="F22" i="6"/>
  <c r="D148" i="24" s="1"/>
  <c r="D108" i="24"/>
  <c r="D52" i="24"/>
  <c r="D55" i="24"/>
  <c r="H55" i="24" s="1"/>
  <c r="I55" i="24" s="1"/>
  <c r="D35" i="24"/>
  <c r="D57" i="24"/>
  <c r="H57" i="24" s="1"/>
  <c r="I57" i="24" s="1"/>
  <c r="D58" i="24"/>
  <c r="H58" i="24" s="1"/>
  <c r="I58" i="24" s="1"/>
  <c r="D135" i="24"/>
  <c r="H135" i="24" s="1"/>
  <c r="I135" i="24" s="1"/>
  <c r="D128" i="24"/>
  <c r="D127" i="24"/>
  <c r="H127" i="24" s="1"/>
  <c r="I127" i="24" s="1"/>
  <c r="D7" i="24"/>
  <c r="D85" i="24"/>
  <c r="G37" i="24"/>
  <c r="D23" i="24"/>
  <c r="D34" i="24"/>
  <c r="H34" i="24" s="1"/>
  <c r="I34" i="24" s="1"/>
  <c r="F33" i="6"/>
  <c r="D334" i="24" s="1"/>
  <c r="H334" i="24" s="1"/>
  <c r="I334" i="24" s="1"/>
  <c r="F34" i="6"/>
  <c r="D328" i="24" s="1"/>
  <c r="V342" i="2"/>
  <c r="F43" i="6"/>
  <c r="F16" i="6"/>
  <c r="F10" i="6"/>
  <c r="D49" i="24" s="1"/>
  <c r="F20" i="6"/>
  <c r="D116" i="24" s="1"/>
  <c r="F21" i="6"/>
  <c r="D223" i="24" s="1"/>
  <c r="H223" i="24" s="1"/>
  <c r="I223" i="24" s="1"/>
  <c r="F19" i="6"/>
  <c r="D105" i="24" s="1"/>
  <c r="F25" i="6"/>
  <c r="F26" i="6"/>
  <c r="D181" i="24" s="1"/>
  <c r="F14" i="6"/>
  <c r="F15" i="6"/>
  <c r="F17" i="6"/>
  <c r="H220" i="24" s="1"/>
  <c r="I220" i="24" s="1"/>
  <c r="F18" i="6"/>
  <c r="F12" i="6"/>
  <c r="D67" i="24" s="1"/>
  <c r="F13" i="6"/>
  <c r="D68" i="24" s="1"/>
  <c r="F23" i="6"/>
  <c r="D256" i="24" s="1"/>
  <c r="F31" i="6"/>
  <c r="D259" i="24" s="1"/>
  <c r="F30" i="6"/>
  <c r="D183" i="24" s="1"/>
  <c r="F28" i="6"/>
  <c r="D164" i="24" s="1"/>
  <c r="F35" i="6"/>
  <c r="F6" i="6"/>
  <c r="F39" i="6"/>
  <c r="I39" i="6" s="1"/>
  <c r="M39" i="6" s="1"/>
  <c r="F38" i="6"/>
  <c r="F7" i="6"/>
  <c r="F4" i="6"/>
  <c r="F5" i="6"/>
  <c r="F9" i="6"/>
  <c r="D48" i="24" s="1"/>
  <c r="F8" i="6"/>
  <c r="S292" i="2"/>
  <c r="V303" i="2"/>
  <c r="V142" i="2"/>
  <c r="U48" i="2"/>
  <c r="S123" i="2"/>
  <c r="U247" i="2"/>
  <c r="V23" i="2"/>
  <c r="G66" i="24" s="1"/>
  <c r="U265" i="2"/>
  <c r="S251" i="2"/>
  <c r="S322" i="2"/>
  <c r="U270" i="2"/>
  <c r="S96" i="2"/>
  <c r="V6" i="2"/>
  <c r="T53" i="2"/>
  <c r="E89" i="24" l="1"/>
  <c r="D350" i="24"/>
  <c r="D344" i="24"/>
  <c r="H344" i="24" s="1"/>
  <c r="I344" i="24" s="1"/>
  <c r="G65" i="24"/>
  <c r="E59" i="24"/>
  <c r="F24" i="6"/>
  <c r="D257" i="24" s="1"/>
  <c r="H257" i="24" s="1"/>
  <c r="I257" i="24" s="1"/>
  <c r="G59" i="24"/>
  <c r="G34" i="24"/>
  <c r="F2" i="24"/>
  <c r="F10" i="24" s="1"/>
  <c r="N15" i="2"/>
  <c r="S15" i="2" s="1"/>
  <c r="D42" i="24"/>
  <c r="H42" i="24" s="1"/>
  <c r="I42" i="24" s="1"/>
  <c r="O15" i="2"/>
  <c r="T15" i="2" s="1"/>
  <c r="E42" i="24" s="1"/>
  <c r="Q15" i="2"/>
  <c r="V15" i="2" s="1"/>
  <c r="G42" i="24" s="1"/>
  <c r="P15" i="2"/>
  <c r="U15" i="2" s="1"/>
  <c r="F42" i="24" s="1"/>
  <c r="J41" i="6"/>
  <c r="N41" i="6" s="1"/>
  <c r="G41" i="6"/>
  <c r="K41" i="6" s="1"/>
  <c r="H41" i="6"/>
  <c r="L41" i="6" s="1"/>
  <c r="E139" i="24" a="1"/>
  <c r="E139" i="24" s="1"/>
  <c r="E154" i="24" a="1"/>
  <c r="E154" i="24" s="1"/>
  <c r="E132" i="24" a="1"/>
  <c r="E132" i="24" s="1"/>
  <c r="E214" i="24" a="1"/>
  <c r="E214" i="24" s="1"/>
  <c r="E109" i="24" a="1"/>
  <c r="E109" i="24" s="1"/>
  <c r="E252" i="24" a="1"/>
  <c r="E252" i="24" s="1"/>
  <c r="E152" i="24" a="1"/>
  <c r="E152" i="24" s="1"/>
  <c r="E234" i="24" a="1"/>
  <c r="E234" i="24" s="1"/>
  <c r="E340" i="24" a="1"/>
  <c r="E340" i="24" s="1"/>
  <c r="H139" i="24"/>
  <c r="I139" i="24" s="1"/>
  <c r="D140" i="24"/>
  <c r="H140" i="24" s="1"/>
  <c r="I140" i="24" s="1"/>
  <c r="D138" i="24"/>
  <c r="H138" i="24" s="1"/>
  <c r="I138" i="24" s="1"/>
  <c r="E358" i="24" a="1"/>
  <c r="E358" i="24" s="1"/>
  <c r="E306" i="24" a="1"/>
  <c r="E306" i="24" s="1"/>
  <c r="E173" i="24" a="1"/>
  <c r="E173" i="24" s="1"/>
  <c r="H340" i="24"/>
  <c r="I340" i="24" s="1"/>
  <c r="D342" i="24"/>
  <c r="H342" i="24" s="1"/>
  <c r="I342" i="24" s="1"/>
  <c r="D341" i="24"/>
  <c r="H341" i="24" s="1"/>
  <c r="I341" i="24" s="1"/>
  <c r="H304" i="24"/>
  <c r="I304" i="24" s="1"/>
  <c r="D305" i="24"/>
  <c r="H305" i="24" s="1"/>
  <c r="I305" i="24" s="1"/>
  <c r="E339" i="24" a="1"/>
  <c r="E339" i="24" s="1"/>
  <c r="E304" i="24" a="1"/>
  <c r="E304" i="24" s="1"/>
  <c r="E99" i="24" a="1"/>
  <c r="E99" i="24" s="1"/>
  <c r="E112" i="24" a="1"/>
  <c r="E112" i="24" s="1"/>
  <c r="E197" i="24" a="1"/>
  <c r="E197" i="24" s="1"/>
  <c r="D349" i="24"/>
  <c r="H349" i="24" s="1"/>
  <c r="I349" i="24" s="1"/>
  <c r="D347" i="24"/>
  <c r="H347" i="24" s="1"/>
  <c r="I347" i="24" s="1"/>
  <c r="G44" i="6"/>
  <c r="K44" i="6" s="1"/>
  <c r="H44" i="6"/>
  <c r="L44" i="6" s="1"/>
  <c r="I44" i="6"/>
  <c r="M44" i="6" s="1"/>
  <c r="D59" i="24"/>
  <c r="D60" i="24" s="1"/>
  <c r="H60" i="24" s="1"/>
  <c r="I60" i="24" s="1"/>
  <c r="D146" i="24"/>
  <c r="H146" i="24" s="1"/>
  <c r="I146" i="24" s="1"/>
  <c r="H131" i="24"/>
  <c r="I131" i="24" s="1"/>
  <c r="J3" i="6"/>
  <c r="N3" i="6" s="1"/>
  <c r="D5" i="24"/>
  <c r="H5" i="24" s="1"/>
  <c r="I5" i="24" s="1"/>
  <c r="G3" i="6"/>
  <c r="K3" i="6" s="1"/>
  <c r="H3" i="6"/>
  <c r="L3" i="6" s="1"/>
  <c r="I3" i="6"/>
  <c r="M3" i="6" s="1"/>
  <c r="H81" i="24"/>
  <c r="I81" i="24" s="1"/>
  <c r="R156" i="2"/>
  <c r="W156" i="2" s="1"/>
  <c r="Q156" i="2"/>
  <c r="V156" i="2" s="1"/>
  <c r="N156" i="2"/>
  <c r="S156" i="2" s="1"/>
  <c r="P156" i="2"/>
  <c r="U156" i="2" s="1"/>
  <c r="O156" i="2"/>
  <c r="T156" i="2" s="1"/>
  <c r="R159" i="2"/>
  <c r="W159" i="2" s="1"/>
  <c r="Q159" i="2"/>
  <c r="V159" i="2" s="1"/>
  <c r="N159" i="2"/>
  <c r="S159" i="2" s="1"/>
  <c r="P159" i="2"/>
  <c r="U159" i="2" s="1"/>
  <c r="O159" i="2"/>
  <c r="T159" i="2" s="1"/>
  <c r="E344" i="24" s="1" a="1"/>
  <c r="E344" i="24" s="1"/>
  <c r="R155" i="2"/>
  <c r="W155" i="2" s="1"/>
  <c r="P155" i="2"/>
  <c r="U155" i="2" s="1"/>
  <c r="Q155" i="2"/>
  <c r="V155" i="2" s="1"/>
  <c r="N155" i="2"/>
  <c r="S155" i="2" s="1"/>
  <c r="O155" i="2"/>
  <c r="T155" i="2" s="1"/>
  <c r="D133" i="24"/>
  <c r="H133" i="24" s="1"/>
  <c r="I133" i="24" s="1"/>
  <c r="D43" i="24"/>
  <c r="H43" i="24" s="1"/>
  <c r="I43" i="24" s="1"/>
  <c r="D78" i="24"/>
  <c r="H78" i="24" s="1"/>
  <c r="I78" i="24" s="1"/>
  <c r="H316" i="24"/>
  <c r="I316" i="24" s="1"/>
  <c r="D348" i="24"/>
  <c r="H348" i="24" s="1"/>
  <c r="I348" i="24" s="1"/>
  <c r="D102" i="24"/>
  <c r="H102" i="24" s="1"/>
  <c r="I102" i="24" s="1"/>
  <c r="D44" i="24"/>
  <c r="H44" i="24" s="1"/>
  <c r="I44" i="24" s="1"/>
  <c r="D311" i="24"/>
  <c r="H311" i="24" s="1"/>
  <c r="I311" i="24" s="1"/>
  <c r="I32" i="6"/>
  <c r="M32" i="6" s="1"/>
  <c r="H98" i="24"/>
  <c r="I98" i="24" s="1"/>
  <c r="H321" i="24"/>
  <c r="I321" i="24" s="1"/>
  <c r="H346" i="24"/>
  <c r="I346" i="24" s="1"/>
  <c r="D30" i="24"/>
  <c r="H30" i="24" s="1"/>
  <c r="I30" i="24" s="1"/>
  <c r="J32" i="6"/>
  <c r="N32" i="6" s="1"/>
  <c r="D31" i="24"/>
  <c r="H31" i="24" s="1"/>
  <c r="I31" i="24" s="1"/>
  <c r="D299" i="24"/>
  <c r="H299" i="24" s="1"/>
  <c r="I299" i="24" s="1"/>
  <c r="H297" i="24"/>
  <c r="I297" i="24" s="1"/>
  <c r="D343" i="24"/>
  <c r="H343" i="24" s="1"/>
  <c r="I343" i="24" s="1"/>
  <c r="H350" i="24"/>
  <c r="I350" i="24" s="1"/>
  <c r="G32" i="6"/>
  <c r="K32" i="6" s="1"/>
  <c r="D345" i="24"/>
  <c r="H345" i="24" s="1"/>
  <c r="I345" i="24" s="1"/>
  <c r="E189" i="24" a="1"/>
  <c r="E189" i="24" s="1"/>
  <c r="E310" i="24" a="1"/>
  <c r="E310" i="24" s="1"/>
  <c r="E41" i="24" a="1"/>
  <c r="E41" i="24" s="1"/>
  <c r="E166" i="24" a="1"/>
  <c r="E166" i="24" s="1"/>
  <c r="E190" i="24" a="1"/>
  <c r="E190" i="24" s="1"/>
  <c r="H191" i="24" s="1"/>
  <c r="I191" i="24" s="1"/>
  <c r="E217" i="24" a="1"/>
  <c r="E217" i="24" s="1"/>
  <c r="E196" i="24" a="1"/>
  <c r="E196" i="24" s="1"/>
  <c r="E275" i="24" a="1"/>
  <c r="E275" i="24" s="1"/>
  <c r="E269" i="24" a="1"/>
  <c r="E269" i="24" s="1"/>
  <c r="E264" i="24" a="1"/>
  <c r="E264" i="24" s="1"/>
  <c r="E270" i="24" a="1"/>
  <c r="E270" i="24" s="1"/>
  <c r="E277" i="24" a="1"/>
  <c r="E277" i="24" s="1"/>
  <c r="E279" i="24" a="1"/>
  <c r="E279" i="24" s="1"/>
  <c r="E308" i="24" a="1"/>
  <c r="E308" i="24" s="1"/>
  <c r="E236" i="24" a="1"/>
  <c r="E236" i="24" s="1"/>
  <c r="E276" i="24" a="1"/>
  <c r="E276" i="24" s="1"/>
  <c r="E353" i="24" a="1"/>
  <c r="E353" i="24" s="1"/>
  <c r="E297" i="24" a="1"/>
  <c r="E297" i="24" s="1"/>
  <c r="E316" i="24" a="1"/>
  <c r="E316" i="24" s="1"/>
  <c r="E363" i="24" a="1"/>
  <c r="E363" i="24" s="1"/>
  <c r="E239" i="24" a="1"/>
  <c r="E239" i="24" s="1"/>
  <c r="E235" i="24" a="1"/>
  <c r="E235" i="24" s="1"/>
  <c r="E230" i="24" a="1"/>
  <c r="E230" i="24" s="1"/>
  <c r="E206" i="24" a="1"/>
  <c r="E206" i="24" s="1"/>
  <c r="E331" i="24" a="1"/>
  <c r="E331" i="24" s="1"/>
  <c r="E280" i="24" a="1"/>
  <c r="E280" i="24" s="1"/>
  <c r="E274" i="24"/>
  <c r="E213" i="24" a="1"/>
  <c r="E213" i="24" s="1"/>
  <c r="E245" i="24" a="1"/>
  <c r="E245" i="24" s="1"/>
  <c r="E165" i="24" a="1"/>
  <c r="E165" i="24" s="1"/>
  <c r="E352" i="24" a="1"/>
  <c r="E352" i="24" s="1"/>
  <c r="E247" i="24" a="1"/>
  <c r="E247" i="24" s="1"/>
  <c r="E272" i="24" a="1"/>
  <c r="E272" i="24" s="1"/>
  <c r="E254" i="24" a="1"/>
  <c r="E254" i="24" s="1"/>
  <c r="E251" i="24" a="1"/>
  <c r="E251" i="24" s="1"/>
  <c r="E246" i="24" a="1"/>
  <c r="E246" i="24" s="1"/>
  <c r="E244" i="24" a="1"/>
  <c r="E244" i="24" s="1"/>
  <c r="E237" i="24" a="1"/>
  <c r="E237" i="24" s="1"/>
  <c r="E243" i="24" a="1"/>
  <c r="E243" i="24" s="1"/>
  <c r="E241" i="24" a="1"/>
  <c r="E241" i="24" s="1"/>
  <c r="E238" i="24" a="1"/>
  <c r="E238" i="24" s="1"/>
  <c r="E314" i="24" a="1"/>
  <c r="E314" i="24" s="1"/>
  <c r="E205" i="24" a="1"/>
  <c r="E205" i="24" s="1"/>
  <c r="E300" i="24" a="1"/>
  <c r="E300" i="24" s="1"/>
  <c r="E194" i="24" a="1"/>
  <c r="E194" i="24" s="1"/>
  <c r="E211" i="24" a="1"/>
  <c r="E211" i="24" s="1"/>
  <c r="E346" i="24" a="1"/>
  <c r="E233" i="24" a="1"/>
  <c r="E233" i="24" s="1"/>
  <c r="E317" i="24" a="1"/>
  <c r="E317" i="24" s="1"/>
  <c r="E315" i="24" a="1"/>
  <c r="E315" i="24" s="1"/>
  <c r="E268" i="24" a="1"/>
  <c r="E268" i="24" s="1"/>
  <c r="E263" i="24" a="1"/>
  <c r="E263" i="24" s="1"/>
  <c r="E318" i="24" a="1"/>
  <c r="E318" i="24" s="1"/>
  <c r="E202" i="24" a="1"/>
  <c r="E202" i="24" s="1"/>
  <c r="E200" i="24" a="1"/>
  <c r="E200" i="24" s="1"/>
  <c r="E204" i="24" a="1"/>
  <c r="E204" i="24" s="1"/>
  <c r="E203" i="24" a="1"/>
  <c r="E203" i="24" s="1"/>
  <c r="E253" i="24" a="1"/>
  <c r="E253" i="24" s="1"/>
  <c r="E250" i="24" a="1"/>
  <c r="E250" i="24" s="1"/>
  <c r="E176" i="24" a="1"/>
  <c r="E176" i="24" s="1"/>
  <c r="E313" i="24" a="1"/>
  <c r="E313" i="24" s="1"/>
  <c r="E354" i="24" a="1"/>
  <c r="E354" i="24" s="1"/>
  <c r="E195" i="24" a="1"/>
  <c r="E195" i="24" s="1"/>
  <c r="E193" i="24" a="1"/>
  <c r="E193" i="24" s="1"/>
  <c r="E208" i="24" a="1"/>
  <c r="E208" i="24" s="1"/>
  <c r="E218" i="24" a="1"/>
  <c r="E218" i="24" s="1"/>
  <c r="E362" i="24" a="1"/>
  <c r="E362" i="24" s="1"/>
  <c r="E289" i="24" a="1"/>
  <c r="E289" i="24" s="1"/>
  <c r="E360" i="24" a="1"/>
  <c r="E360" i="24" s="1"/>
  <c r="H227" i="24"/>
  <c r="I227" i="24" s="1"/>
  <c r="H248" i="24"/>
  <c r="I248" i="24" s="1"/>
  <c r="D249" i="24"/>
  <c r="H249" i="24" s="1"/>
  <c r="I249" i="24" s="1"/>
  <c r="H337" i="24"/>
  <c r="I337" i="24" s="1"/>
  <c r="D338" i="24"/>
  <c r="H338" i="24" s="1"/>
  <c r="I338" i="24" s="1"/>
  <c r="D364" i="24"/>
  <c r="H364" i="24" s="1"/>
  <c r="I364" i="24" s="1"/>
  <c r="H362" i="24"/>
  <c r="I362" i="24" s="1"/>
  <c r="E325" i="24" a="1"/>
  <c r="E325" i="24" s="1"/>
  <c r="E285" i="24" a="1"/>
  <c r="E285" i="24" s="1"/>
  <c r="H32" i="6"/>
  <c r="L32" i="6" s="1"/>
  <c r="E179" i="24" a="1"/>
  <c r="E179" i="24" s="1"/>
  <c r="D284" i="24"/>
  <c r="H284" i="24" s="1"/>
  <c r="I284" i="24" s="1"/>
  <c r="H281" i="24"/>
  <c r="I281" i="24" s="1"/>
  <c r="H178" i="24"/>
  <c r="I178" i="24" s="1"/>
  <c r="D180" i="24"/>
  <c r="H180" i="24" s="1"/>
  <c r="I180" i="24" s="1"/>
  <c r="D286" i="24"/>
  <c r="H286" i="24" s="1"/>
  <c r="I286" i="24" s="1"/>
  <c r="H285" i="24"/>
  <c r="I285" i="24" s="1"/>
  <c r="D332" i="24"/>
  <c r="H332" i="24" s="1"/>
  <c r="I332" i="24" s="1"/>
  <c r="H331" i="24"/>
  <c r="I331" i="24" s="1"/>
  <c r="D333" i="24"/>
  <c r="H333" i="24" s="1"/>
  <c r="I333" i="24" s="1"/>
  <c r="E295" i="24" a="1"/>
  <c r="E295" i="24" s="1"/>
  <c r="E294" i="24" a="1"/>
  <c r="E294" i="24" s="1"/>
  <c r="E282" i="24" a="1"/>
  <c r="E282" i="24" s="1"/>
  <c r="E281" i="24" a="1"/>
  <c r="E281" i="24" s="1"/>
  <c r="E323" i="24" a="1"/>
  <c r="E323" i="24" s="1"/>
  <c r="E201" i="24" a="1"/>
  <c r="E201" i="24" s="1"/>
  <c r="E199" i="24" a="1"/>
  <c r="E199" i="24" s="1"/>
  <c r="E324" i="24" a="1"/>
  <c r="E324" i="24" s="1"/>
  <c r="E322" i="24" a="1"/>
  <c r="E322" i="24" s="1"/>
  <c r="E248" i="24" a="1"/>
  <c r="E248" i="24" s="1"/>
  <c r="E301" i="24" a="1"/>
  <c r="E301" i="24" s="1"/>
  <c r="E303" i="24" a="1"/>
  <c r="E303" i="24" s="1"/>
  <c r="E271" i="24" a="1"/>
  <c r="E271" i="24" s="1"/>
  <c r="E309" i="24" a="1"/>
  <c r="E309" i="24" s="1"/>
  <c r="E307" i="24" a="1"/>
  <c r="E307" i="24" s="1"/>
  <c r="E267" i="24" a="1"/>
  <c r="E267" i="24" s="1"/>
  <c r="E262" i="24" a="1"/>
  <c r="E262" i="24" s="1"/>
  <c r="E174" i="24" a="1"/>
  <c r="E174" i="24" s="1"/>
  <c r="E265" i="24" a="1"/>
  <c r="E265" i="24" s="1"/>
  <c r="E266" i="24" a="1"/>
  <c r="E266" i="24" s="1"/>
  <c r="E292" i="24" a="1"/>
  <c r="E292" i="24" s="1"/>
  <c r="E175" i="24" a="1"/>
  <c r="E175" i="24" s="1"/>
  <c r="E178" i="24" a="1"/>
  <c r="E178" i="24" s="1"/>
  <c r="E278" i="24" a="1"/>
  <c r="E278" i="24" s="1"/>
  <c r="E273" i="24"/>
  <c r="E283" i="24" a="1"/>
  <c r="E283" i="24" s="1"/>
  <c r="E207" i="24" a="1"/>
  <c r="E207" i="24" s="1"/>
  <c r="E231" i="24" a="1"/>
  <c r="E231" i="24" s="1"/>
  <c r="E232" i="24" a="1"/>
  <c r="E232" i="24" s="1"/>
  <c r="E242" i="24" a="1"/>
  <c r="E242" i="24" s="1"/>
  <c r="H354" i="24"/>
  <c r="I354" i="24" s="1"/>
  <c r="D355" i="24"/>
  <c r="H355" i="24" s="1"/>
  <c r="I355" i="24" s="1"/>
  <c r="H207" i="24"/>
  <c r="I207" i="24" s="1"/>
  <c r="D209" i="24"/>
  <c r="H209" i="24" s="1"/>
  <c r="I209" i="24" s="1"/>
  <c r="D219" i="24"/>
  <c r="H219" i="24" s="1"/>
  <c r="I219" i="24" s="1"/>
  <c r="H218" i="24"/>
  <c r="I218" i="24" s="1"/>
  <c r="H190" i="24"/>
  <c r="I190" i="24" s="1"/>
  <c r="H211" i="24"/>
  <c r="I211" i="24" s="1"/>
  <c r="D212" i="24"/>
  <c r="H212" i="24" s="1"/>
  <c r="I212" i="24" s="1"/>
  <c r="D255" i="24"/>
  <c r="H255" i="24" s="1"/>
  <c r="I255" i="24" s="1"/>
  <c r="H256" i="24"/>
  <c r="I256" i="24" s="1"/>
  <c r="D258" i="24"/>
  <c r="H258" i="24" s="1"/>
  <c r="I258" i="24" s="1"/>
  <c r="D327" i="24"/>
  <c r="H327" i="24" s="1"/>
  <c r="I327" i="24" s="1"/>
  <c r="H328" i="24"/>
  <c r="I328" i="24" s="1"/>
  <c r="D260" i="24"/>
  <c r="H260" i="24" s="1"/>
  <c r="I260" i="24" s="1"/>
  <c r="H259" i="24"/>
  <c r="I259" i="24" s="1"/>
  <c r="E293" i="24" a="1"/>
  <c r="E293" i="24" s="1"/>
  <c r="D361" i="24" s="1" a="1"/>
  <c r="D361" i="24" s="1"/>
  <c r="H361" i="24" s="1"/>
  <c r="I361" i="24" s="1"/>
  <c r="D330" i="24"/>
  <c r="H330" i="24" s="1"/>
  <c r="I330" i="24" s="1"/>
  <c r="H329" i="24"/>
  <c r="I329" i="24" s="1"/>
  <c r="E357" i="24" a="1"/>
  <c r="E357" i="24" s="1"/>
  <c r="E356" i="24" a="1"/>
  <c r="E356" i="24" s="1"/>
  <c r="D151" i="24"/>
  <c r="H151" i="24" s="1"/>
  <c r="I151" i="24" s="1"/>
  <c r="E291" i="24" a="1"/>
  <c r="E291" i="24" s="1"/>
  <c r="D222" i="24"/>
  <c r="H222" i="24" s="1"/>
  <c r="I222" i="24" s="1"/>
  <c r="D221" i="24"/>
  <c r="H221" i="24" s="1"/>
  <c r="I221" i="24" s="1"/>
  <c r="H181" i="24"/>
  <c r="I181" i="24" s="1"/>
  <c r="D182" i="24"/>
  <c r="H182" i="24" s="1"/>
  <c r="I182" i="24" s="1"/>
  <c r="D335" i="24"/>
  <c r="H335" i="24" s="1"/>
  <c r="I335" i="24" s="1"/>
  <c r="D336" i="24"/>
  <c r="H336" i="24" s="1"/>
  <c r="I336" i="24" s="1"/>
  <c r="I38" i="6"/>
  <c r="M38" i="6" s="1"/>
  <c r="D351" i="24"/>
  <c r="H351" i="24" s="1"/>
  <c r="I351" i="24" s="1"/>
  <c r="D225" i="24"/>
  <c r="H225" i="24" s="1"/>
  <c r="I225" i="24" s="1"/>
  <c r="D224" i="24"/>
  <c r="H224" i="24" s="1"/>
  <c r="I224" i="24" s="1"/>
  <c r="D184" i="24"/>
  <c r="H184" i="24" s="1"/>
  <c r="I184" i="24" s="1"/>
  <c r="H183" i="24"/>
  <c r="I183" i="24" s="1"/>
  <c r="H160" i="24"/>
  <c r="I160" i="24" s="1"/>
  <c r="H159" i="24"/>
  <c r="I159" i="24" s="1"/>
  <c r="D163" i="24"/>
  <c r="H163" i="24" s="1"/>
  <c r="I163" i="24" s="1"/>
  <c r="H164" i="24"/>
  <c r="I164" i="24" s="1"/>
  <c r="D162" i="24"/>
  <c r="H162" i="24" s="1"/>
  <c r="I162" i="24" s="1"/>
  <c r="H161" i="24"/>
  <c r="I161" i="24" s="1"/>
  <c r="E168" i="24" a="1"/>
  <c r="E168" i="24" s="1"/>
  <c r="E171" i="24" a="1"/>
  <c r="E171" i="24" s="1"/>
  <c r="E159" i="24" a="1"/>
  <c r="E159" i="24" s="1"/>
  <c r="E172" i="24" a="1"/>
  <c r="E172" i="24" s="1"/>
  <c r="D170" i="24"/>
  <c r="H170" i="24" s="1"/>
  <c r="I170" i="24" s="1"/>
  <c r="D169" i="24"/>
  <c r="H169" i="24" s="1"/>
  <c r="I169" i="24" s="1"/>
  <c r="E145" i="24" a="1"/>
  <c r="E145" i="24" s="1"/>
  <c r="H36" i="6"/>
  <c r="L36" i="6" s="1"/>
  <c r="E17" i="24" s="1"/>
  <c r="E141" i="24" a="1"/>
  <c r="E141" i="24" s="1"/>
  <c r="E157" i="24" a="1"/>
  <c r="E157" i="24" s="1"/>
  <c r="E153" i="24" a="1"/>
  <c r="E153" i="24" s="1"/>
  <c r="E144" i="24" a="1"/>
  <c r="E144" i="24" s="1"/>
  <c r="D155" i="24"/>
  <c r="H141" i="24"/>
  <c r="I141" i="24" s="1"/>
  <c r="D142" i="24"/>
  <c r="H142" i="24" s="1"/>
  <c r="I142" i="24" s="1"/>
  <c r="E143" i="24" a="1"/>
  <c r="E143" i="24" s="1"/>
  <c r="H157" i="24"/>
  <c r="I157" i="24" s="1"/>
  <c r="D158" i="24"/>
  <c r="H158" i="24" s="1"/>
  <c r="I158" i="24" s="1"/>
  <c r="E147" i="24" a="1"/>
  <c r="E147" i="24" s="1"/>
  <c r="D149" i="24"/>
  <c r="H149" i="24" s="1"/>
  <c r="I149" i="24" s="1"/>
  <c r="H148" i="24"/>
  <c r="I148" i="24" s="1"/>
  <c r="I36" i="6"/>
  <c r="M36" i="6" s="1"/>
  <c r="F17" i="24" s="1"/>
  <c r="G36" i="6"/>
  <c r="K36" i="6" s="1"/>
  <c r="J36" i="6"/>
  <c r="N36" i="6" s="1"/>
  <c r="G17" i="24" s="1"/>
  <c r="D18" i="24"/>
  <c r="H18" i="24" s="1"/>
  <c r="I18" i="24" s="1"/>
  <c r="E113" i="24" a="1"/>
  <c r="E113" i="24" s="1"/>
  <c r="F9" i="24"/>
  <c r="F6" i="24"/>
  <c r="F28" i="24"/>
  <c r="E117" i="24" a="1"/>
  <c r="E117" i="24" s="1"/>
  <c r="H35" i="24"/>
  <c r="I35" i="24" s="1"/>
  <c r="D36" i="24"/>
  <c r="H36" i="24" s="1"/>
  <c r="I36" i="24" s="1"/>
  <c r="H52" i="24"/>
  <c r="I52" i="24" s="1"/>
  <c r="D53" i="24"/>
  <c r="H53" i="24" s="1"/>
  <c r="I53" i="24" s="1"/>
  <c r="H29" i="24"/>
  <c r="I29" i="24" s="1"/>
  <c r="D32" i="24"/>
  <c r="D77" i="24"/>
  <c r="H77" i="24" s="1"/>
  <c r="I77" i="24" s="1"/>
  <c r="D76" i="24"/>
  <c r="H76" i="24" s="1"/>
  <c r="I76" i="24" s="1"/>
  <c r="H75" i="24"/>
  <c r="I75" i="24" s="1"/>
  <c r="G56" i="24"/>
  <c r="G88" i="24"/>
  <c r="E6" i="24"/>
  <c r="E9" i="24"/>
  <c r="E122" i="24" a="1"/>
  <c r="E122" i="24" s="1"/>
  <c r="E119" i="24" a="1"/>
  <c r="E119" i="24" s="1"/>
  <c r="E56" i="24"/>
  <c r="E120" i="24" a="1"/>
  <c r="E120" i="24" s="1"/>
  <c r="F85" i="24"/>
  <c r="F82" i="24"/>
  <c r="F55" i="24"/>
  <c r="E121" i="24" a="1"/>
  <c r="E121" i="24" s="1"/>
  <c r="E124" i="24" a="1"/>
  <c r="E124" i="24" s="1"/>
  <c r="E123" i="24" a="1"/>
  <c r="E123" i="24" s="1"/>
  <c r="E83" i="24"/>
  <c r="E126" i="24" a="1"/>
  <c r="E126" i="24" s="1"/>
  <c r="E125" i="24" a="1"/>
  <c r="E125" i="24" s="1"/>
  <c r="E63" i="24"/>
  <c r="E3" i="24"/>
  <c r="E128" i="24" a="1"/>
  <c r="E127" i="24" a="1"/>
  <c r="E127" i="24" s="1"/>
  <c r="E75" i="24"/>
  <c r="E135" i="24" a="1"/>
  <c r="E135" i="24" s="1"/>
  <c r="E35" i="24"/>
  <c r="E40" i="24"/>
  <c r="E100" i="24"/>
  <c r="E7" i="24"/>
  <c r="E8" i="24" s="1"/>
  <c r="E58" i="24"/>
  <c r="E57" i="24"/>
  <c r="E108" i="24" a="1"/>
  <c r="E108" i="24" s="1"/>
  <c r="E80" i="24"/>
  <c r="E74" i="24"/>
  <c r="E2" i="24"/>
  <c r="E10" i="24" s="1"/>
  <c r="E4" i="24"/>
  <c r="E23" i="24"/>
  <c r="E28" i="24"/>
  <c r="H85" i="24"/>
  <c r="I85" i="24" s="1"/>
  <c r="D87" i="24"/>
  <c r="H87" i="24" s="1"/>
  <c r="I87" i="24" s="1"/>
  <c r="D86" i="24"/>
  <c r="H86" i="24" s="1"/>
  <c r="I86" i="24" s="1"/>
  <c r="D10" i="24"/>
  <c r="H10" i="24" s="1"/>
  <c r="I10" i="24" s="1"/>
  <c r="H2" i="24"/>
  <c r="I2" i="24" s="1"/>
  <c r="E136" i="24" a="1"/>
  <c r="E136" i="24" s="1"/>
  <c r="E137" i="24" a="1"/>
  <c r="E137" i="24" s="1"/>
  <c r="E118" i="24" a="1"/>
  <c r="E118" i="24" s="1"/>
  <c r="E52" i="24"/>
  <c r="E53" i="24" s="1"/>
  <c r="F88" i="24"/>
  <c r="F65" i="24"/>
  <c r="G9" i="24"/>
  <c r="G6" i="24"/>
  <c r="F56" i="24"/>
  <c r="G82" i="24"/>
  <c r="G85" i="24"/>
  <c r="F52" i="24"/>
  <c r="F53" i="24" s="1"/>
  <c r="G55" i="24"/>
  <c r="G83" i="24"/>
  <c r="F63" i="24"/>
  <c r="G3" i="24"/>
  <c r="F75" i="24"/>
  <c r="G35" i="24"/>
  <c r="G84" i="24"/>
  <c r="F100" i="24"/>
  <c r="F7" i="24"/>
  <c r="F8" i="24" s="1"/>
  <c r="F57" i="24"/>
  <c r="F58" i="24"/>
  <c r="G80" i="24"/>
  <c r="G74" i="24"/>
  <c r="F89" i="24"/>
  <c r="F23" i="24"/>
  <c r="G42" i="6"/>
  <c r="K42" i="6" s="1"/>
  <c r="D104" i="24"/>
  <c r="D114" i="24"/>
  <c r="H114" i="24" s="1"/>
  <c r="I114" i="24" s="1"/>
  <c r="D115" i="24"/>
  <c r="H115" i="24" s="1"/>
  <c r="I115" i="24" s="1"/>
  <c r="H116" i="24"/>
  <c r="I116" i="24" s="1"/>
  <c r="G28" i="24"/>
  <c r="D25" i="24"/>
  <c r="H25" i="24" s="1"/>
  <c r="I25" i="24" s="1"/>
  <c r="D24" i="24"/>
  <c r="H24" i="24" s="1"/>
  <c r="I24" i="24" s="1"/>
  <c r="H23" i="24"/>
  <c r="I23" i="24" s="1"/>
  <c r="H128" i="24"/>
  <c r="I128" i="24" s="1"/>
  <c r="D129" i="24"/>
  <c r="D111" i="24"/>
  <c r="H111" i="24" s="1"/>
  <c r="I111" i="24" s="1"/>
  <c r="D110" i="24"/>
  <c r="H110" i="24" s="1"/>
  <c r="I110" i="24" s="1"/>
  <c r="H108" i="24"/>
  <c r="I108" i="24" s="1"/>
  <c r="H63" i="24"/>
  <c r="I63" i="24" s="1"/>
  <c r="D64" i="24"/>
  <c r="H64" i="24" s="1"/>
  <c r="I64" i="24" s="1"/>
  <c r="E85" i="24"/>
  <c r="E82" i="24"/>
  <c r="G52" i="24"/>
  <c r="G53" i="24" s="1"/>
  <c r="F83" i="24"/>
  <c r="G63" i="24"/>
  <c r="F3" i="24"/>
  <c r="G75" i="24"/>
  <c r="F84" i="24"/>
  <c r="G40" i="24"/>
  <c r="G100" i="24"/>
  <c r="G7" i="24"/>
  <c r="G8" i="24" s="1"/>
  <c r="E131" i="24" a="1"/>
  <c r="G58" i="24"/>
  <c r="G57" i="24"/>
  <c r="F80" i="24"/>
  <c r="F74" i="24"/>
  <c r="G2" i="24"/>
  <c r="G10" i="24" s="1"/>
  <c r="G89" i="24"/>
  <c r="G4" i="24"/>
  <c r="G23" i="24"/>
  <c r="H105" i="24"/>
  <c r="I105" i="24" s="1"/>
  <c r="D97" i="24"/>
  <c r="H97" i="24" s="1"/>
  <c r="I97" i="24" s="1"/>
  <c r="D106" i="24"/>
  <c r="H106" i="24" s="1"/>
  <c r="I106" i="24" s="1"/>
  <c r="H7" i="24"/>
  <c r="I7" i="24" s="1"/>
  <c r="D8" i="24"/>
  <c r="H8" i="24" s="1"/>
  <c r="I8" i="24" s="1"/>
  <c r="D46" i="24"/>
  <c r="H46" i="24" s="1"/>
  <c r="I46" i="24" s="1"/>
  <c r="H48" i="24"/>
  <c r="I48" i="24" s="1"/>
  <c r="D47" i="24"/>
  <c r="H47" i="24" s="1"/>
  <c r="I47" i="24" s="1"/>
  <c r="F98" i="24"/>
  <c r="G98" i="24"/>
  <c r="H71" i="24"/>
  <c r="I71" i="24" s="1"/>
  <c r="D73" i="24"/>
  <c r="H73" i="24" s="1"/>
  <c r="I73" i="24" s="1"/>
  <c r="D72" i="24"/>
  <c r="H72" i="24" s="1"/>
  <c r="I72" i="24" s="1"/>
  <c r="E98" i="24"/>
  <c r="D45" i="24"/>
  <c r="H68" i="24"/>
  <c r="I68" i="24" s="1"/>
  <c r="D62" i="24"/>
  <c r="H62" i="24" s="1"/>
  <c r="I62" i="24" s="1"/>
  <c r="D50" i="24"/>
  <c r="H50" i="24" s="1"/>
  <c r="I50" i="24" s="1"/>
  <c r="D51" i="24"/>
  <c r="H51" i="24" s="1"/>
  <c r="I51" i="24" s="1"/>
  <c r="H49" i="24"/>
  <c r="I49" i="24" s="1"/>
  <c r="D69" i="24"/>
  <c r="H69" i="24" s="1"/>
  <c r="I69" i="24" s="1"/>
  <c r="H96" i="24"/>
  <c r="I96" i="24" s="1"/>
  <c r="D70" i="24"/>
  <c r="H70" i="24" s="1"/>
  <c r="I70" i="24" s="1"/>
  <c r="D14" i="24"/>
  <c r="F34" i="24"/>
  <c r="D13" i="24"/>
  <c r="H13" i="24" s="1"/>
  <c r="I13" i="24" s="1"/>
  <c r="D12" i="24"/>
  <c r="H12" i="24" s="1"/>
  <c r="I12" i="24" s="1"/>
  <c r="H11" i="24"/>
  <c r="I11" i="24" s="1"/>
  <c r="D21" i="24"/>
  <c r="G37" i="6"/>
  <c r="K37" i="6" s="1"/>
  <c r="J37" i="6"/>
  <c r="N37" i="6" s="1"/>
  <c r="I37" i="6"/>
  <c r="M37" i="6" s="1"/>
  <c r="H37" i="6"/>
  <c r="L37" i="6" s="1"/>
  <c r="J16" i="6"/>
  <c r="N16" i="6" s="1"/>
  <c r="G96" i="24" s="1"/>
  <c r="G16" i="6"/>
  <c r="K16" i="6" s="1"/>
  <c r="H16" i="6"/>
  <c r="L16" i="6" s="1"/>
  <c r="E96" i="24" s="1"/>
  <c r="I16" i="6"/>
  <c r="M16" i="6" s="1"/>
  <c r="F96" i="24" s="1"/>
  <c r="J43" i="6"/>
  <c r="N43" i="6" s="1"/>
  <c r="G43" i="6"/>
  <c r="K43" i="6" s="1"/>
  <c r="I43" i="6"/>
  <c r="M43" i="6" s="1"/>
  <c r="H43" i="6"/>
  <c r="L43" i="6" s="1"/>
  <c r="G28" i="6"/>
  <c r="K28" i="6" s="1"/>
  <c r="H28" i="6"/>
  <c r="L28" i="6" s="1"/>
  <c r="J28" i="6"/>
  <c r="N28" i="6" s="1"/>
  <c r="I28" i="6"/>
  <c r="M28" i="6" s="1"/>
  <c r="G29" i="6"/>
  <c r="K29" i="6" s="1"/>
  <c r="I29" i="6"/>
  <c r="M29" i="6" s="1"/>
  <c r="H29" i="6"/>
  <c r="L29" i="6" s="1"/>
  <c r="J29" i="6"/>
  <c r="N29" i="6" s="1"/>
  <c r="G14" i="6"/>
  <c r="K14" i="6" s="1"/>
  <c r="J14" i="6"/>
  <c r="N14" i="6" s="1"/>
  <c r="G90" i="24" s="1"/>
  <c r="I14" i="6"/>
  <c r="M14" i="6" s="1"/>
  <c r="F90" i="24" s="1"/>
  <c r="H14" i="6"/>
  <c r="L14" i="6" s="1"/>
  <c r="I25" i="6"/>
  <c r="M25" i="6" s="1"/>
  <c r="J25" i="6"/>
  <c r="N25" i="6" s="1"/>
  <c r="H25" i="6"/>
  <c r="L25" i="6" s="1"/>
  <c r="G25" i="6"/>
  <c r="K25" i="6" s="1"/>
  <c r="G22" i="6"/>
  <c r="K22" i="6" s="1"/>
  <c r="H22" i="6"/>
  <c r="L22" i="6" s="1"/>
  <c r="J22" i="6"/>
  <c r="N22" i="6" s="1"/>
  <c r="I22" i="6"/>
  <c r="M22" i="6" s="1"/>
  <c r="G10" i="6"/>
  <c r="K10" i="6" s="1"/>
  <c r="I10" i="6"/>
  <c r="M10" i="6" s="1"/>
  <c r="F49" i="24" s="1"/>
  <c r="H10" i="6"/>
  <c r="L10" i="6" s="1"/>
  <c r="E49" i="24" s="1"/>
  <c r="J10" i="6"/>
  <c r="N10" i="6" s="1"/>
  <c r="G49" i="24" s="1"/>
  <c r="G33" i="6"/>
  <c r="K33" i="6" s="1"/>
  <c r="J33" i="6"/>
  <c r="N33" i="6" s="1"/>
  <c r="H33" i="6"/>
  <c r="L33" i="6" s="1"/>
  <c r="I33" i="6"/>
  <c r="M33" i="6" s="1"/>
  <c r="G27" i="6"/>
  <c r="K27" i="6" s="1"/>
  <c r="H27" i="6"/>
  <c r="L27" i="6" s="1"/>
  <c r="I27" i="6"/>
  <c r="M27" i="6" s="1"/>
  <c r="J27" i="6"/>
  <c r="N27" i="6" s="1"/>
  <c r="G31" i="6"/>
  <c r="K31" i="6" s="1"/>
  <c r="J31" i="6"/>
  <c r="N31" i="6" s="1"/>
  <c r="H31" i="6"/>
  <c r="L31" i="6" s="1"/>
  <c r="I31" i="6"/>
  <c r="M31" i="6" s="1"/>
  <c r="G13" i="6"/>
  <c r="K13" i="6" s="1"/>
  <c r="J13" i="6"/>
  <c r="N13" i="6" s="1"/>
  <c r="G68" i="24" s="1"/>
  <c r="H13" i="6"/>
  <c r="L13" i="6" s="1"/>
  <c r="E68" i="24" s="1"/>
  <c r="I13" i="6"/>
  <c r="M13" i="6" s="1"/>
  <c r="F68" i="24" s="1"/>
  <c r="G18" i="6"/>
  <c r="K18" i="6" s="1"/>
  <c r="I18" i="6"/>
  <c r="M18" i="6" s="1"/>
  <c r="F71" i="24" s="1"/>
  <c r="H18" i="6"/>
  <c r="L18" i="6" s="1"/>
  <c r="E71" i="24" s="1"/>
  <c r="J18" i="6"/>
  <c r="N18" i="6" s="1"/>
  <c r="G71" i="24" s="1"/>
  <c r="G34" i="6"/>
  <c r="K34" i="6" s="1"/>
  <c r="J34" i="6"/>
  <c r="N34" i="6" s="1"/>
  <c r="I34" i="6"/>
  <c r="M34" i="6" s="1"/>
  <c r="H34" i="6"/>
  <c r="L34" i="6" s="1"/>
  <c r="I21" i="6"/>
  <c r="M21" i="6" s="1"/>
  <c r="G21" i="6"/>
  <c r="K21" i="6" s="1"/>
  <c r="J21" i="6"/>
  <c r="N21" i="6" s="1"/>
  <c r="H21" i="6"/>
  <c r="L21" i="6" s="1"/>
  <c r="G35" i="6"/>
  <c r="K35" i="6" s="1"/>
  <c r="H35" i="6"/>
  <c r="L35" i="6" s="1"/>
  <c r="J35" i="6"/>
  <c r="N35" i="6" s="1"/>
  <c r="I35" i="6"/>
  <c r="M35" i="6" s="1"/>
  <c r="G12" i="6"/>
  <c r="K12" i="6" s="1"/>
  <c r="H12" i="6"/>
  <c r="L12" i="6" s="1"/>
  <c r="I12" i="6"/>
  <c r="M12" i="6" s="1"/>
  <c r="J12" i="6"/>
  <c r="N12" i="6" s="1"/>
  <c r="I17" i="6"/>
  <c r="M17" i="6" s="1"/>
  <c r="H17" i="6"/>
  <c r="L17" i="6" s="1"/>
  <c r="G17" i="6"/>
  <c r="K17" i="6" s="1"/>
  <c r="J17" i="6"/>
  <c r="N17" i="6" s="1"/>
  <c r="G19" i="6"/>
  <c r="K19" i="6" s="1"/>
  <c r="H19" i="6"/>
  <c r="L19" i="6" s="1"/>
  <c r="E105" i="24" s="1"/>
  <c r="J19" i="6"/>
  <c r="N19" i="6" s="1"/>
  <c r="G105" i="24" s="1"/>
  <c r="I19" i="6"/>
  <c r="M19" i="6" s="1"/>
  <c r="F105" i="24" s="1"/>
  <c r="G20" i="6"/>
  <c r="K20" i="6" s="1"/>
  <c r="J20" i="6"/>
  <c r="N20" i="6" s="1"/>
  <c r="H20" i="6"/>
  <c r="L20" i="6" s="1"/>
  <c r="I20" i="6"/>
  <c r="M20" i="6" s="1"/>
  <c r="G24" i="6"/>
  <c r="K24" i="6" s="1"/>
  <c r="J24" i="6"/>
  <c r="N24" i="6" s="1"/>
  <c r="I24" i="6"/>
  <c r="M24" i="6" s="1"/>
  <c r="H24" i="6"/>
  <c r="L24" i="6" s="1"/>
  <c r="G30" i="6"/>
  <c r="K30" i="6" s="1"/>
  <c r="J30" i="6"/>
  <c r="N30" i="6" s="1"/>
  <c r="H30" i="6"/>
  <c r="L30" i="6" s="1"/>
  <c r="I30" i="6"/>
  <c r="M30" i="6" s="1"/>
  <c r="G23" i="6"/>
  <c r="K23" i="6" s="1"/>
  <c r="I23" i="6"/>
  <c r="M23" i="6" s="1"/>
  <c r="J23" i="6"/>
  <c r="N23" i="6" s="1"/>
  <c r="H23" i="6"/>
  <c r="L23" i="6" s="1"/>
  <c r="G11" i="6"/>
  <c r="K11" i="6" s="1"/>
  <c r="J11" i="6"/>
  <c r="N11" i="6" s="1"/>
  <c r="I11" i="6"/>
  <c r="M11" i="6" s="1"/>
  <c r="H11" i="6"/>
  <c r="L11" i="6" s="1"/>
  <c r="G15" i="6"/>
  <c r="K15" i="6" s="1"/>
  <c r="I15" i="6"/>
  <c r="M15" i="6" s="1"/>
  <c r="F93" i="24" s="1"/>
  <c r="H15" i="6"/>
  <c r="L15" i="6" s="1"/>
  <c r="J15" i="6"/>
  <c r="N15" i="6" s="1"/>
  <c r="G26" i="6"/>
  <c r="K26" i="6" s="1"/>
  <c r="I26" i="6"/>
  <c r="M26" i="6" s="1"/>
  <c r="J26" i="6"/>
  <c r="N26" i="6" s="1"/>
  <c r="H26" i="6"/>
  <c r="L26" i="6" s="1"/>
  <c r="I42" i="6"/>
  <c r="M42" i="6" s="1"/>
  <c r="F104" i="24" s="1"/>
  <c r="H42" i="6"/>
  <c r="L42" i="6" s="1"/>
  <c r="E104" i="24" s="1"/>
  <c r="J42" i="6"/>
  <c r="N42" i="6" s="1"/>
  <c r="G104" i="24" s="1"/>
  <c r="H39" i="6"/>
  <c r="L39" i="6" s="1"/>
  <c r="G39" i="6"/>
  <c r="K39" i="6" s="1"/>
  <c r="J39" i="6"/>
  <c r="N39" i="6" s="1"/>
  <c r="H38" i="6"/>
  <c r="L38" i="6" s="1"/>
  <c r="G38" i="6"/>
  <c r="K38" i="6" s="1"/>
  <c r="J38" i="6"/>
  <c r="N38" i="6" s="1"/>
  <c r="J4" i="6"/>
  <c r="N4" i="6" s="1"/>
  <c r="G11" i="24" s="1"/>
  <c r="I4" i="6"/>
  <c r="M4" i="6" s="1"/>
  <c r="G4" i="6"/>
  <c r="K4" i="6" s="1"/>
  <c r="H4" i="6"/>
  <c r="L4" i="6" s="1"/>
  <c r="E11" i="24" s="1"/>
  <c r="J7" i="6"/>
  <c r="N7" i="6" s="1"/>
  <c r="H7" i="6"/>
  <c r="L7" i="6" s="1"/>
  <c r="I7" i="6"/>
  <c r="M7" i="6" s="1"/>
  <c r="G7" i="6"/>
  <c r="K7" i="6" s="1"/>
  <c r="J9" i="6"/>
  <c r="N9" i="6" s="1"/>
  <c r="G48" i="24" s="1"/>
  <c r="G9" i="6"/>
  <c r="K9" i="6" s="1"/>
  <c r="H9" i="6"/>
  <c r="L9" i="6" s="1"/>
  <c r="E48" i="24" s="1"/>
  <c r="I9" i="6"/>
  <c r="M9" i="6" s="1"/>
  <c r="G6" i="6"/>
  <c r="K6" i="6" s="1"/>
  <c r="J6" i="6"/>
  <c r="N6" i="6" s="1"/>
  <c r="H6" i="6"/>
  <c r="L6" i="6" s="1"/>
  <c r="I6" i="6"/>
  <c r="M6" i="6" s="1"/>
  <c r="J2" i="6"/>
  <c r="N2" i="6" s="1"/>
  <c r="H2" i="6"/>
  <c r="L2" i="6" s="1"/>
  <c r="G2" i="6"/>
  <c r="K2" i="6" s="1"/>
  <c r="I2" i="6"/>
  <c r="M2" i="6" s="1"/>
  <c r="J5" i="6"/>
  <c r="N5" i="6" s="1"/>
  <c r="H5" i="6"/>
  <c r="L5" i="6" s="1"/>
  <c r="I5" i="6"/>
  <c r="M5" i="6" s="1"/>
  <c r="G5" i="6"/>
  <c r="K5" i="6" s="1"/>
  <c r="I8" i="6"/>
  <c r="M8" i="6" s="1"/>
  <c r="G8" i="6"/>
  <c r="K8" i="6" s="1"/>
  <c r="H8" i="6"/>
  <c r="L8" i="6" s="1"/>
  <c r="J8" i="6"/>
  <c r="N8" i="6" s="1"/>
  <c r="V316" i="2"/>
  <c r="U316" i="2"/>
  <c r="S316" i="2"/>
  <c r="T316" i="2"/>
  <c r="S10" i="2"/>
  <c r="V10" i="2"/>
  <c r="G27" i="24" s="1"/>
  <c r="U10" i="2"/>
  <c r="F27" i="24" s="1"/>
  <c r="T10" i="2"/>
  <c r="E27" i="24" s="1"/>
  <c r="E337" i="24" l="1" a="1"/>
  <c r="E337" i="24" s="1"/>
  <c r="H59" i="24"/>
  <c r="I59" i="24" s="1"/>
  <c r="E350" i="24" a="1"/>
  <c r="E350" i="24" s="1"/>
  <c r="E227" i="24" a="1"/>
  <c r="E227" i="24" s="1"/>
  <c r="E343" i="24" a="1"/>
  <c r="E343" i="24" s="1"/>
  <c r="E345" i="24" a="1"/>
  <c r="E345" i="24" s="1"/>
  <c r="E256" i="24" a="1"/>
  <c r="E256" i="24" s="1"/>
  <c r="E321" i="24" a="1"/>
  <c r="E321" i="24" s="1"/>
  <c r="E346" i="24"/>
  <c r="E347" i="24" s="1"/>
  <c r="G347" i="24"/>
  <c r="F347" i="24"/>
  <c r="E181" i="24" a="1"/>
  <c r="E181" i="24" s="1"/>
  <c r="E223" i="24" a="1"/>
  <c r="E223" i="24" s="1"/>
  <c r="E328" i="24" a="1"/>
  <c r="E328" i="24" s="1"/>
  <c r="E329" i="24" a="1"/>
  <c r="E329" i="24" s="1"/>
  <c r="E351" i="24" a="1"/>
  <c r="E351" i="24" s="1"/>
  <c r="E183" i="24" a="1"/>
  <c r="E183" i="24" s="1"/>
  <c r="E259" i="24" a="1"/>
  <c r="E259" i="24" s="1"/>
  <c r="E334" i="24" a="1"/>
  <c r="E334" i="24" s="1"/>
  <c r="E257" i="24" a="1"/>
  <c r="E257" i="24" s="1"/>
  <c r="E220" i="24" a="1"/>
  <c r="E220" i="24" s="1"/>
  <c r="E161" i="24" a="1"/>
  <c r="E161" i="24" s="1"/>
  <c r="E164" i="24" a="1"/>
  <c r="E164" i="24" s="1"/>
  <c r="E150" i="24" a="1"/>
  <c r="E150" i="24" s="1"/>
  <c r="E155" i="24" a="1"/>
  <c r="E155" i="24" s="1"/>
  <c r="E148" i="24" a="1"/>
  <c r="E148" i="24" s="1"/>
  <c r="H155" i="24"/>
  <c r="I155" i="24" s="1"/>
  <c r="D156" i="24"/>
  <c r="H156" i="24" s="1"/>
  <c r="I156" i="24" s="1"/>
  <c r="E116" i="24" a="1"/>
  <c r="E116" i="24" s="1"/>
  <c r="F29" i="24"/>
  <c r="F32" i="24" s="1"/>
  <c r="F33" i="24" s="1"/>
  <c r="G29" i="24"/>
  <c r="G32" i="24" s="1"/>
  <c r="G33" i="24" s="1"/>
  <c r="D20" i="24"/>
  <c r="H20" i="24" s="1"/>
  <c r="I20" i="24" s="1"/>
  <c r="H19" i="24"/>
  <c r="I19" i="24" s="1"/>
  <c r="D103" i="24"/>
  <c r="H103" i="24" s="1"/>
  <c r="I103" i="24" s="1"/>
  <c r="H104" i="24"/>
  <c r="I104" i="24" s="1"/>
  <c r="D107" i="24"/>
  <c r="H107" i="24" s="1"/>
  <c r="I107" i="24" s="1"/>
  <c r="E29" i="24"/>
  <c r="E32" i="24" s="1"/>
  <c r="E33" i="24" s="1"/>
  <c r="E131" i="24"/>
  <c r="H129" i="24"/>
  <c r="I129" i="24" s="1"/>
  <c r="D130" i="24"/>
  <c r="H130" i="24" s="1"/>
  <c r="I130" i="24" s="1"/>
  <c r="E128" i="24"/>
  <c r="E129" i="24" s="1"/>
  <c r="E130" i="24" s="1"/>
  <c r="G129" i="24"/>
  <c r="G130" i="24" s="1"/>
  <c r="F129" i="24"/>
  <c r="F130" i="24" s="1"/>
  <c r="D33" i="24"/>
  <c r="H33" i="24" s="1"/>
  <c r="I33" i="24" s="1"/>
  <c r="H32" i="24"/>
  <c r="I32" i="24" s="1"/>
  <c r="E93" i="24"/>
  <c r="F67" i="24"/>
  <c r="H93" i="24"/>
  <c r="I93" i="24" s="1"/>
  <c r="D95" i="24"/>
  <c r="H95" i="24" s="1"/>
  <c r="I95" i="24" s="1"/>
  <c r="D94" i="24"/>
  <c r="H94" i="24" s="1"/>
  <c r="I94" i="24" s="1"/>
  <c r="H45" i="24"/>
  <c r="I45" i="24" s="1"/>
  <c r="D38" i="24"/>
  <c r="H38" i="24" s="1"/>
  <c r="I38" i="24" s="1"/>
  <c r="D39" i="24"/>
  <c r="H39" i="24" s="1"/>
  <c r="I39" i="24" s="1"/>
  <c r="D91" i="24"/>
  <c r="H91" i="24" s="1"/>
  <c r="I91" i="24" s="1"/>
  <c r="D92" i="24"/>
  <c r="H92" i="24" s="1"/>
  <c r="I92" i="24" s="1"/>
  <c r="H90" i="24"/>
  <c r="I90" i="24" s="1"/>
  <c r="G93" i="24"/>
  <c r="F45" i="24"/>
  <c r="E67" i="24"/>
  <c r="G45" i="24"/>
  <c r="D61" i="24"/>
  <c r="H61" i="24" s="1"/>
  <c r="I61" i="24" s="1"/>
  <c r="H67" i="24"/>
  <c r="I67" i="24" s="1"/>
  <c r="E45" i="24"/>
  <c r="F48" i="24"/>
  <c r="G67" i="24"/>
  <c r="E90" i="24"/>
  <c r="D22" i="24"/>
  <c r="H22" i="24" s="1"/>
  <c r="I22" i="24" s="1"/>
  <c r="H21" i="24"/>
  <c r="I21" i="24" s="1"/>
  <c r="F21" i="24"/>
  <c r="F11" i="24"/>
  <c r="G14" i="24"/>
  <c r="G19" i="24"/>
  <c r="G5" i="24"/>
  <c r="G21" i="24"/>
  <c r="D16" i="24"/>
  <c r="H16" i="24" s="1"/>
  <c r="I16" i="24" s="1"/>
  <c r="D15" i="24"/>
  <c r="H15" i="24" s="1"/>
  <c r="I15" i="24" s="1"/>
  <c r="H14" i="24"/>
  <c r="I14" i="24" s="1"/>
  <c r="F14" i="24"/>
  <c r="E14" i="24"/>
  <c r="E5" i="24"/>
  <c r="E19" i="24"/>
  <c r="E21" i="24"/>
  <c r="F19" i="24"/>
  <c r="F5" i="2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<sst xmlns="http://schemas.openxmlformats.org/spreadsheetml/2006/main" count="3426" uniqueCount="1305">
  <si>
    <t>Apples, Granny</t>
  </si>
  <si>
    <t>Apples, Gala</t>
  </si>
  <si>
    <t>Beets, Cut 25#</t>
  </si>
  <si>
    <t>Broccoli Crowns</t>
  </si>
  <si>
    <t>Broccoli 14 ct</t>
  </si>
  <si>
    <t>Broccoli Flor 6/3#</t>
  </si>
  <si>
    <t>Brussel Sprouts</t>
  </si>
  <si>
    <t>Cabbage, Bag</t>
  </si>
  <si>
    <t>Cabbage, Red</t>
  </si>
  <si>
    <t>Cabbage, Savoy</t>
  </si>
  <si>
    <t>Canteloupes</t>
  </si>
  <si>
    <t>Carrots,50#</t>
  </si>
  <si>
    <t>Carrots, Baby 30/1#</t>
  </si>
  <si>
    <t>Carrots, Rainbow</t>
  </si>
  <si>
    <t>Cauliflower</t>
  </si>
  <si>
    <t>Celery 30 ct</t>
  </si>
  <si>
    <t>Collards, Dozen</t>
  </si>
  <si>
    <t>Corn, Yellow</t>
  </si>
  <si>
    <t>Grapes, Red SL</t>
  </si>
  <si>
    <t>Grapes, White SL</t>
  </si>
  <si>
    <t>Honeydews</t>
  </si>
  <si>
    <t>Jicama</t>
  </si>
  <si>
    <t>Kale</t>
  </si>
  <si>
    <t>Kiwi, Bulk</t>
  </si>
  <si>
    <t>Lemons, 140</t>
  </si>
  <si>
    <t>Mangoes</t>
  </si>
  <si>
    <t>Mushroom, Crimini</t>
  </si>
  <si>
    <t>Mushroom, 10#</t>
  </si>
  <si>
    <t>Napa</t>
  </si>
  <si>
    <t>Onions, Red 25#</t>
  </si>
  <si>
    <t>Onions, Yellow 50#</t>
  </si>
  <si>
    <t>Oranges, 113 ct</t>
  </si>
  <si>
    <t>Oranges, 125 ct</t>
  </si>
  <si>
    <t>Parsnips, 25#</t>
  </si>
  <si>
    <t>Pears, Bosc</t>
  </si>
  <si>
    <t>Pears, Green</t>
  </si>
  <si>
    <t>Peppers, Green</t>
  </si>
  <si>
    <t>Peppers, Red</t>
  </si>
  <si>
    <t>Peppers, Yellow</t>
  </si>
  <si>
    <t>Pineapples</t>
  </si>
  <si>
    <t>Potatoes, 90 ct</t>
  </si>
  <si>
    <t>Potatoes, Red A</t>
  </si>
  <si>
    <t>Potatoes, Sweet JBO</t>
  </si>
  <si>
    <t>Tomatoes, Roma</t>
  </si>
  <si>
    <t>Tomatoes, Grape</t>
  </si>
  <si>
    <t>Tomatoes, Cherry</t>
  </si>
  <si>
    <t>Tomatoes, 5x6</t>
  </si>
  <si>
    <t>Turnips, Cut 25#</t>
  </si>
  <si>
    <t>Radishes, 40#</t>
  </si>
  <si>
    <t>Rutabags</t>
  </si>
  <si>
    <t>Sno Peas 10#</t>
  </si>
  <si>
    <t>Squash, Acorn</t>
  </si>
  <si>
    <t>Squash, Butternut</t>
  </si>
  <si>
    <t>Squash, Yellow 1/2</t>
  </si>
  <si>
    <t>Squash, Yellow Full</t>
  </si>
  <si>
    <t>Squash, Zuke 1/2</t>
  </si>
  <si>
    <t>Squash, Zuke Full</t>
  </si>
  <si>
    <t>Sugar Snaps</t>
  </si>
  <si>
    <t xml:space="preserve">Strawberries </t>
  </si>
  <si>
    <t>Watermelon, (IND)</t>
  </si>
  <si>
    <t>SQUASH, SLICED (20# CASE)</t>
  </si>
  <si>
    <t>STRAWBERRIES, TRIMMED (50 X 2oz)</t>
  </si>
  <si>
    <t>BROCCOLI FLORETS (6x3#CASE)</t>
  </si>
  <si>
    <t>CANTALOUPE, CUBED (50 X 2.7oz)</t>
  </si>
  <si>
    <t>CANTALOUPE CUBED (5# CASE)</t>
  </si>
  <si>
    <t>CANTALOUPE, HALVED (5#CASE)</t>
  </si>
  <si>
    <t>CANTALOUPE, SLICED (10# CASE)</t>
  </si>
  <si>
    <t>CARROT, STICKS SNAKPAK (50X2oz)</t>
  </si>
  <si>
    <t>CARROT STICKS (10# CASE)</t>
  </si>
  <si>
    <t>CARROT, STICKS (BWW)(4 X 5# CASE)</t>
  </si>
  <si>
    <t>CABBAGE, CHOPPED (20# CASE)</t>
  </si>
  <si>
    <t>CORN, SHUCKED (4 X 12)</t>
  </si>
  <si>
    <t>CHERRY TOMATOES SNAKPAK (50 X 2oz)</t>
  </si>
  <si>
    <t>CHERRY TOMATOES SNAKPAK (50 X 2oz) W/ LIGHT RANCH</t>
  </si>
  <si>
    <t>CUCUMBER, DICED (2 X 5# CASE)</t>
  </si>
  <si>
    <t>CUCUMBER, SLICED (2 X 5# CASE)</t>
  </si>
  <si>
    <t>PEPPER, GREEN, DICED, (10# CASE)</t>
  </si>
  <si>
    <t>PEPPERS, DICED, TRI COLOR, (10# CASE)</t>
  </si>
  <si>
    <t>PEPPER, GREEN DICED (5# TRAY)</t>
  </si>
  <si>
    <t>PEPPER, YELLOW DICED (10# TRAY)</t>
  </si>
  <si>
    <t>PEPPER, RED, DICED (10# TRAY)</t>
  </si>
  <si>
    <t>TOMATOES, DICED (10# CASE)</t>
  </si>
  <si>
    <t>TOMATOES, DICED (5# CASE)</t>
  </si>
  <si>
    <t>PEPPER, DICED YELLOW(5# CASE)</t>
  </si>
  <si>
    <t>FAJITA MIX, PEPPER &amp; ONION, JULIENNE (2 X 5) (10# CASE)</t>
  </si>
  <si>
    <t>HONEYDEW, HALVED (5# CASE)</t>
  </si>
  <si>
    <t>HONEYDEW, CUBED, (50 X 2.7oz)</t>
  </si>
  <si>
    <t>PEPPER, GREEN JULIENNE, (10# TRAY)</t>
  </si>
  <si>
    <t>PEPPER, GREEN, JULIENNE (20# CASE)</t>
  </si>
  <si>
    <t>PEPPER, JUL GREEN (5# CASE)</t>
  </si>
  <si>
    <t>PEPPERS, JULIENNE, TRI COLOR, (10# CASE)</t>
  </si>
  <si>
    <t>PEPPER, RED JULIENNE (10# TRAY)</t>
  </si>
  <si>
    <t>PEPPER, YELLOW JULIENNE (10# TRAY)</t>
  </si>
  <si>
    <t>KIWI, PEELED &amp; SLICED (5# CASE)</t>
  </si>
  <si>
    <t>KIWI, WEDGED SNAKPAK (50 X 2oz)</t>
  </si>
  <si>
    <t>LEMON WEDGES, (2 X 5# CASE)</t>
  </si>
  <si>
    <t>POTATOES, QUARTERED (20# CASE)</t>
  </si>
  <si>
    <t>POTATO, QUARTERED RED (20# CASE)</t>
  </si>
  <si>
    <t>RAW FRIES (20# CASE)</t>
  </si>
  <si>
    <t>ONIONS, RED JULIENNE (20# CASE)</t>
  </si>
  <si>
    <t>ONIONS, RED SLICED (10# CASE)</t>
  </si>
  <si>
    <t>CABBAGE, SHRED RED (20# CASE)</t>
  </si>
  <si>
    <t>TOMATOES, SLICED (10# CASE)</t>
  </si>
  <si>
    <t>ONIONS, YELLOW DICED (20# CASE)</t>
  </si>
  <si>
    <t>ONIONS, YELLOW JULIENNE (20# CASE)</t>
  </si>
  <si>
    <t>ONIONS, YELLOW PEELED (20# CASE)</t>
  </si>
  <si>
    <t>ONIONS, YELLOW SLICED (10# CASE)</t>
  </si>
  <si>
    <t>ZUCCHINI SLICED (20# CASE)</t>
  </si>
  <si>
    <t>POTATOES, WHOLE PEELED (20# CASE)</t>
  </si>
  <si>
    <t>NAPA CABBAGE, SHREDDED (4 X 5)</t>
  </si>
  <si>
    <t>ORANGE SLICES, (2 X 5# TRAY)</t>
  </si>
  <si>
    <t>ORANGE WEDGE SNAKPAK (50 X 4.7oz.)</t>
  </si>
  <si>
    <t>PAPAYA, CHUNKS SNAKPAK (50/2oz)</t>
  </si>
  <si>
    <t>PARSNIP, PEEL &amp; DICED (10# CASE)</t>
  </si>
  <si>
    <t>PICO DE GALLO (2 x 1 GAL/CASE)</t>
  </si>
  <si>
    <t>PEARS, WEDGED (100 X 2oz)</t>
  </si>
  <si>
    <t>PEARS, WEDGED (50 X 2oz)</t>
  </si>
  <si>
    <t>PINEAPPLE, HALVED (5# CASE)</t>
  </si>
  <si>
    <t>PINEAPPLE CUT (5# CASE)</t>
  </si>
  <si>
    <t>PINEAPPLE, SLICED (10# CASE)</t>
  </si>
  <si>
    <t>POTATOES, DICED (20# CASE)</t>
  </si>
  <si>
    <t>POTATOES, DICED (10# BAG)</t>
  </si>
  <si>
    <t>POTATO, DICED, SKIN ON (20# CASE)</t>
  </si>
  <si>
    <t>POTATOES, HASH BROWN (20# CASE)</t>
  </si>
  <si>
    <t>POTATOES, RED QUARTERED (10# BAG)</t>
  </si>
  <si>
    <t>POTATOES, SLICED (20# CASE)</t>
  </si>
  <si>
    <t>POTATOES, SLICED (10# BAG)</t>
  </si>
  <si>
    <t>POTATO, WEDGES (20# CASE)</t>
  </si>
  <si>
    <t>POTATOES, WHOLE PEELED (10# BAG)</t>
  </si>
  <si>
    <t>PEPPER STICKS, SNAKPAK (50 X 2oz)</t>
  </si>
  <si>
    <t>PEPPER STICK, RED, YELLOW, (50 X 2oz)</t>
  </si>
  <si>
    <t>RADISH, MATCHSTICKS, SNAKPAK (50 X 2oz)</t>
  </si>
  <si>
    <t>RADISH, MATCHSTICKS, SNAKPAK (50 X 2oz) W/ LIGHT RANCH</t>
  </si>
  <si>
    <t>ONIONS, RED SLICED (20# CASE)</t>
  </si>
  <si>
    <t>RAW FRIES (10# BAG)</t>
  </si>
  <si>
    <t>ONIONS, RED DICED (20# CASE)</t>
  </si>
  <si>
    <t>ONIONS, RED DICED (5# BAG)</t>
  </si>
  <si>
    <t>ONIONS, RED JULIENNE (10# CASE)</t>
  </si>
  <si>
    <t>ONIONS, RED JULIENNE (5# BAG)</t>
  </si>
  <si>
    <t>ONIONS, RED PEELED (20# CASE)</t>
  </si>
  <si>
    <t>RUTABAGAS, DICED (20# CASE)</t>
  </si>
  <si>
    <t>ROOT VEGETABLES, MIXED (4 X 3# CS)</t>
  </si>
  <si>
    <t>SUGAR SNAPS, SNAKPAK  (50 X 2oz)</t>
  </si>
  <si>
    <t>SUGAR SNAPS, SNAKPAK (50 X 2oz) W/ LIGHT RANCH</t>
  </si>
  <si>
    <t>CRIMINI, SLICED (5# CASE)</t>
  </si>
  <si>
    <t>SWEET POTATOES, DICED (20# CASE)</t>
  </si>
  <si>
    <t>SWEET POTATOES, PEELED (20# CASE)</t>
  </si>
  <si>
    <t>SWEET POTATO, PEELED, DICED (20# CASE)</t>
  </si>
  <si>
    <t>SWEET POTATOES, PEELED, QUARTERED (20# CASE)</t>
  </si>
  <si>
    <t>SWEET POTATO, PEELED &amp; SHRED (20# CASE)</t>
  </si>
  <si>
    <t>SWEET POTATO, PEELED STICKS (20# CASE)</t>
  </si>
  <si>
    <t>SWEET POTATO, WEDGES (20# CASE)</t>
  </si>
  <si>
    <t>SQUASH, HALFMOON (50 X 2 oz) W/ LIGHT RANCH</t>
  </si>
  <si>
    <t>SQUASH, JULIENNE, (2 X 5# BAG)</t>
  </si>
  <si>
    <t>SQUASH, SLICED (5# BAG)</t>
  </si>
  <si>
    <t>STRAWBERRIES, TRIMMED, WASHED (5# TRAY)</t>
  </si>
  <si>
    <t>STRAWBERRIES, SLICED (5# CASE)</t>
  </si>
  <si>
    <t>SWEET POTATO STICKS, SNAKPAK (100 X 2oz)</t>
  </si>
  <si>
    <t>SWEET POTATO STICKS, SNAKPAK (50 X 2oz)</t>
  </si>
  <si>
    <t>SWEET POTATO STICKS, SNAKPAK (50 X 2oz) W/ LIGHT RANCH</t>
  </si>
  <si>
    <t>TANGERINE WEDGE SNAKPAK (50 X 3.5oz)</t>
  </si>
  <si>
    <t>TURNIP GREENS, CHOPPED (6 X 2#)</t>
  </si>
  <si>
    <t>TURNIP STICKS SNAKPAK (50 X 2oz) W/ LIGHT RANCH</t>
  </si>
  <si>
    <t>TURNIP, DICED, (20# CASE)</t>
  </si>
  <si>
    <t>WATERMELON, SNAKPAK, (50 X 2oz)</t>
  </si>
  <si>
    <t>WATERMELON, CUT (5# CASE)</t>
  </si>
  <si>
    <t>ONIONS, YELLOW DICED (10# CASE)</t>
  </si>
  <si>
    <t>ONIONS, YELLOW JULIENNE (10# CASE)</t>
  </si>
  <si>
    <t>ONIONS, YELLOW SLICED (20# CASE)</t>
  </si>
  <si>
    <t>ONIONS, SLICED, (5# TUB)</t>
  </si>
  <si>
    <t>ZUCHHINI, SLICED (50 X 2oz)</t>
  </si>
  <si>
    <t>ZUCHHINI, SLICED W/ RANCH (50 X 2oz)</t>
  </si>
  <si>
    <t>ZUCCHINI, DICED (2 X 5# TRAYS)</t>
  </si>
  <si>
    <t>ZUCCHINI, JULIENNE, (2 X 5# BAG)</t>
  </si>
  <si>
    <t>AC</t>
  </si>
  <si>
    <t>APD</t>
  </si>
  <si>
    <t>APP100</t>
  </si>
  <si>
    <t>APP50</t>
  </si>
  <si>
    <t>APPG100</t>
  </si>
  <si>
    <t>APPGR</t>
  </si>
  <si>
    <t>BB</t>
  </si>
  <si>
    <t>BD</t>
  </si>
  <si>
    <t>BET</t>
  </si>
  <si>
    <t>BF</t>
  </si>
  <si>
    <t>BFW</t>
  </si>
  <si>
    <t>BROF</t>
  </si>
  <si>
    <t>BROF63</t>
  </si>
  <si>
    <t>BRS</t>
  </si>
  <si>
    <t>BRU</t>
  </si>
  <si>
    <t>BRUH</t>
  </si>
  <si>
    <t>C</t>
  </si>
  <si>
    <t>CAN50</t>
  </si>
  <si>
    <t>CANC</t>
  </si>
  <si>
    <t>CANH</t>
  </si>
  <si>
    <t>CANSL</t>
  </si>
  <si>
    <t>CAR50</t>
  </si>
  <si>
    <t>CARD</t>
  </si>
  <si>
    <t>CARST</t>
  </si>
  <si>
    <t>CARST10</t>
  </si>
  <si>
    <t>CARSTBW</t>
  </si>
  <si>
    <t>CB100</t>
  </si>
  <si>
    <t>CB50</t>
  </si>
  <si>
    <t>CB50W</t>
  </si>
  <si>
    <t>CCAR50</t>
  </si>
  <si>
    <t>CCAR50W</t>
  </si>
  <si>
    <t>CCARR</t>
  </si>
  <si>
    <t>CCARR50</t>
  </si>
  <si>
    <t>CCARR50W</t>
  </si>
  <si>
    <t>CCCAR</t>
  </si>
  <si>
    <t>CCCAR10</t>
  </si>
  <si>
    <t>CE5</t>
  </si>
  <si>
    <t>CE5W</t>
  </si>
  <si>
    <t>CELD</t>
  </si>
  <si>
    <t>CELD10</t>
  </si>
  <si>
    <t>CELST</t>
  </si>
  <si>
    <t>CFL</t>
  </si>
  <si>
    <t>CHCAB</t>
  </si>
  <si>
    <t>COL</t>
  </si>
  <si>
    <t>CORN</t>
  </si>
  <si>
    <t>CORNHALF</t>
  </si>
  <si>
    <t>CT</t>
  </si>
  <si>
    <t>CTW</t>
  </si>
  <si>
    <t>CU5</t>
  </si>
  <si>
    <t>CU5W</t>
  </si>
  <si>
    <t>CUKD10</t>
  </si>
  <si>
    <t>CUKS10</t>
  </si>
  <si>
    <t>DCAR10</t>
  </si>
  <si>
    <t>DP10</t>
  </si>
  <si>
    <t>DP10M</t>
  </si>
  <si>
    <t>DP5</t>
  </si>
  <si>
    <t>DPY</t>
  </si>
  <si>
    <t>DRA</t>
  </si>
  <si>
    <t>DRP</t>
  </si>
  <si>
    <t>DT</t>
  </si>
  <si>
    <t>DT5</t>
  </si>
  <si>
    <t>DYP</t>
  </si>
  <si>
    <t>FF</t>
  </si>
  <si>
    <t>FM</t>
  </si>
  <si>
    <t>FM10</t>
  </si>
  <si>
    <t>FMJ</t>
  </si>
  <si>
    <t>FTRAY</t>
  </si>
  <si>
    <t>GP</t>
  </si>
  <si>
    <t>GP50</t>
  </si>
  <si>
    <t>GPL</t>
  </si>
  <si>
    <t>GRW</t>
  </si>
  <si>
    <t>GT</t>
  </si>
  <si>
    <t>GTW</t>
  </si>
  <si>
    <t>GW</t>
  </si>
  <si>
    <t>HH</t>
  </si>
  <si>
    <t>HO50</t>
  </si>
  <si>
    <t>HON</t>
  </si>
  <si>
    <t>HONS</t>
  </si>
  <si>
    <t>JP10</t>
  </si>
  <si>
    <t>JP20</t>
  </si>
  <si>
    <t>JP5</t>
  </si>
  <si>
    <t>JPM</t>
  </si>
  <si>
    <t>JPR</t>
  </si>
  <si>
    <t>JPY</t>
  </si>
  <si>
    <t>JSH2/5</t>
  </si>
  <si>
    <t>JSP</t>
  </si>
  <si>
    <t>JSPW</t>
  </si>
  <si>
    <t>KI5</t>
  </si>
  <si>
    <t>KI50</t>
  </si>
  <si>
    <t>LEM2/5</t>
  </si>
  <si>
    <t>MANG</t>
  </si>
  <si>
    <t>NAPA, SHRED</t>
  </si>
  <si>
    <t>OSL</t>
  </si>
  <si>
    <t>OW</t>
  </si>
  <si>
    <t>PAPSP</t>
  </si>
  <si>
    <t>PARD</t>
  </si>
  <si>
    <t>PARS</t>
  </si>
  <si>
    <t>PCAR</t>
  </si>
  <si>
    <t>PDG2/1</t>
  </si>
  <si>
    <t>PE100</t>
  </si>
  <si>
    <t>PE50</t>
  </si>
  <si>
    <t>PH</t>
  </si>
  <si>
    <t>PINC</t>
  </si>
  <si>
    <t>PINSL</t>
  </si>
  <si>
    <t>POTD</t>
  </si>
  <si>
    <t>POTDB</t>
  </si>
  <si>
    <t>POTDSO</t>
  </si>
  <si>
    <t>POTHB</t>
  </si>
  <si>
    <t>POTQ</t>
  </si>
  <si>
    <t>POTQR</t>
  </si>
  <si>
    <t>POTQRB</t>
  </si>
  <si>
    <t>POTSL</t>
  </si>
  <si>
    <t>POTSLB</t>
  </si>
  <si>
    <t>POTWED</t>
  </si>
  <si>
    <t>POTWP</t>
  </si>
  <si>
    <t>POTWPB</t>
  </si>
  <si>
    <t>PS</t>
  </si>
  <si>
    <t>PSTK</t>
  </si>
  <si>
    <t>PSTK100</t>
  </si>
  <si>
    <t>R</t>
  </si>
  <si>
    <t>RAD5</t>
  </si>
  <si>
    <t>RADS</t>
  </si>
  <si>
    <t>RADSH</t>
  </si>
  <si>
    <t>RF</t>
  </si>
  <si>
    <t>RFB</t>
  </si>
  <si>
    <t>ROND</t>
  </si>
  <si>
    <t>RONDB</t>
  </si>
  <si>
    <t>RONJ</t>
  </si>
  <si>
    <t>RONJ10</t>
  </si>
  <si>
    <t>RONJB</t>
  </si>
  <si>
    <t>RONP</t>
  </si>
  <si>
    <t>RONR5</t>
  </si>
  <si>
    <t>RONSL</t>
  </si>
  <si>
    <t>RONSL10</t>
  </si>
  <si>
    <t>RUTD</t>
  </si>
  <si>
    <t>RV</t>
  </si>
  <si>
    <t>S5</t>
  </si>
  <si>
    <t>S5W</t>
  </si>
  <si>
    <t>SC5</t>
  </si>
  <si>
    <t>SLAW</t>
  </si>
  <si>
    <t>SLAW50/50</t>
  </si>
  <si>
    <t>SLAWD</t>
  </si>
  <si>
    <t>SLAWF</t>
  </si>
  <si>
    <t>SPD</t>
  </si>
  <si>
    <t>SPP</t>
  </si>
  <si>
    <t>SPPD</t>
  </si>
  <si>
    <t>SPPQ</t>
  </si>
  <si>
    <t>SPSH</t>
  </si>
  <si>
    <t>SPST</t>
  </si>
  <si>
    <t>SPW</t>
  </si>
  <si>
    <t>SQ50</t>
  </si>
  <si>
    <t>SQ50W</t>
  </si>
  <si>
    <t>SQJ</t>
  </si>
  <si>
    <t>SQS</t>
  </si>
  <si>
    <t>SQSB</t>
  </si>
  <si>
    <t>SR</t>
  </si>
  <si>
    <t>ST</t>
  </si>
  <si>
    <t>STR</t>
  </si>
  <si>
    <t>STR50</t>
  </si>
  <si>
    <t>STRS</t>
  </si>
  <si>
    <t>SW100</t>
  </si>
  <si>
    <t>SW50</t>
  </si>
  <si>
    <t>SW5W</t>
  </si>
  <si>
    <t>TANG</t>
  </si>
  <si>
    <t>TC</t>
  </si>
  <si>
    <t>TS</t>
  </si>
  <si>
    <t>TSW</t>
  </si>
  <si>
    <t>TURND</t>
  </si>
  <si>
    <t>W50</t>
  </si>
  <si>
    <t>WAC</t>
  </si>
  <si>
    <t>WR</t>
  </si>
  <si>
    <t>YOND</t>
  </si>
  <si>
    <t>YOND10</t>
  </si>
  <si>
    <t>YONJ</t>
  </si>
  <si>
    <t>YONJ10</t>
  </si>
  <si>
    <t>YONP</t>
  </si>
  <si>
    <t>YONSL</t>
  </si>
  <si>
    <t>YONSL10</t>
  </si>
  <si>
    <t>YONT</t>
  </si>
  <si>
    <t>Z50</t>
  </si>
  <si>
    <t>Z50W</t>
  </si>
  <si>
    <t>ZES</t>
  </si>
  <si>
    <t>ZUD10</t>
  </si>
  <si>
    <t>ZUJ</t>
  </si>
  <si>
    <t>ZUS</t>
  </si>
  <si>
    <t>ZUS5</t>
  </si>
  <si>
    <t>ZUCCHINI, SLICED (5# CASE)</t>
  </si>
  <si>
    <t>DESCRIPTION</t>
  </si>
  <si>
    <t>ITEM CODE</t>
  </si>
  <si>
    <t>CASE WT</t>
  </si>
  <si>
    <t>LABOR</t>
  </si>
  <si>
    <t>PACKAGING</t>
  </si>
  <si>
    <t>UNIT COST</t>
  </si>
  <si>
    <t>LABOR HOUR</t>
  </si>
  <si>
    <t>PACKAGING TYPE</t>
  </si>
  <si>
    <t>4/5 NEW KRAFT</t>
  </si>
  <si>
    <t>BOX COST</t>
  </si>
  <si>
    <t>BAG COST</t>
  </si>
  <si>
    <t>LABELS / TAPE</t>
  </si>
  <si>
    <t>TOTAL COST</t>
  </si>
  <si>
    <t>2/5 TUB</t>
  </si>
  <si>
    <t>1/5 TUB</t>
  </si>
  <si>
    <t>2/10 NEW KRAFT</t>
  </si>
  <si>
    <t>Product</t>
  </si>
  <si>
    <t>Price</t>
  </si>
  <si>
    <t>Packaging Type</t>
  </si>
  <si>
    <t>Base Product</t>
  </si>
  <si>
    <t>Yield (LB/Prod)</t>
  </si>
  <si>
    <t>Cost/LB (Price/Yield)</t>
  </si>
  <si>
    <t>Ranch?</t>
  </si>
  <si>
    <t>No</t>
  </si>
  <si>
    <t>Yes</t>
  </si>
  <si>
    <t>Snakpak</t>
  </si>
  <si>
    <t>Snakpak or Foodservice?</t>
  </si>
  <si>
    <t>Foodservice</t>
  </si>
  <si>
    <t>25% Rounded</t>
  </si>
  <si>
    <t>30% Rounded</t>
  </si>
  <si>
    <t>35% Rounded</t>
  </si>
  <si>
    <t>40% Rounded</t>
  </si>
  <si>
    <t>4/3 TUB</t>
  </si>
  <si>
    <t>BUTTERNUT SQUASH DICED (20# CASE)</t>
  </si>
  <si>
    <t>Blueberries 1/2 Pint</t>
  </si>
  <si>
    <t>Blueberries 1 Pint</t>
  </si>
  <si>
    <t>2/5 FRUIT TRAY</t>
  </si>
  <si>
    <t>2/5 ONION TRAY</t>
  </si>
  <si>
    <t>1/5 FRUIT TRAY</t>
  </si>
  <si>
    <t>1/5 ONION TRAY</t>
  </si>
  <si>
    <t>SNAKPAK 50CT</t>
  </si>
  <si>
    <t>SNAKPAK 100CT</t>
  </si>
  <si>
    <t>4/3 NEW KRAFT</t>
  </si>
  <si>
    <t>Papaya, 9ct</t>
  </si>
  <si>
    <t>Tangerine, 140ct</t>
  </si>
  <si>
    <t>KALE, SHREDDED (4 X 1# CASE)</t>
  </si>
  <si>
    <t>KAL</t>
  </si>
  <si>
    <t>CARROT STICKS (20# CASE)</t>
  </si>
  <si>
    <t>CUW5</t>
  </si>
  <si>
    <t>5# WHOLE PRODUCE</t>
  </si>
  <si>
    <t>ONIONS, YELLOW WHOLE (5# CASE)</t>
  </si>
  <si>
    <t>YOW5</t>
  </si>
  <si>
    <t>ONIONS, RED WHOLE (5# CASE)</t>
  </si>
  <si>
    <t>ROW5</t>
  </si>
  <si>
    <t>PEPPER, GREEN WHOLE (5# CASE)</t>
  </si>
  <si>
    <t>GPW5</t>
  </si>
  <si>
    <t>RPW5</t>
  </si>
  <si>
    <t>PEPPER, RED WHOLE (5# CASE)</t>
  </si>
  <si>
    <t>8ct FRUIT CUPS</t>
  </si>
  <si>
    <t>SNAKPAK 50CT 10# TRAY</t>
  </si>
  <si>
    <t>GAV</t>
  </si>
  <si>
    <t>Guava</t>
  </si>
  <si>
    <t>KUM</t>
  </si>
  <si>
    <t>BO</t>
  </si>
  <si>
    <t>KUMQUAT WHOLE, (50 X 2oz)</t>
  </si>
  <si>
    <t>Ugly Fruit 30#</t>
  </si>
  <si>
    <t>UGLY FRUIT  WEDGE SNAKPAK (50 X 3.5oz)</t>
  </si>
  <si>
    <t>UF</t>
  </si>
  <si>
    <t>ONIONS, YELLOW THIN SLICED (5# CASE)</t>
  </si>
  <si>
    <t>LYONT</t>
  </si>
  <si>
    <t>Dragon Fruit 10#</t>
  </si>
  <si>
    <t>DF50</t>
  </si>
  <si>
    <t xml:space="preserve"> </t>
  </si>
  <si>
    <t>CIL</t>
  </si>
  <si>
    <t>Cilantro 60ct</t>
  </si>
  <si>
    <t>Beets, Candystripe 25#</t>
  </si>
  <si>
    <t>BE50</t>
  </si>
  <si>
    <t>Kumquat, Bulk 10#</t>
  </si>
  <si>
    <t>GB50</t>
  </si>
  <si>
    <t>Pico De Gallo</t>
  </si>
  <si>
    <t>Carrots, Baby Slims 4/5#</t>
  </si>
  <si>
    <t>Green Beans 10#</t>
  </si>
  <si>
    <t>Cucumber, Select</t>
  </si>
  <si>
    <t>Bok Choy</t>
  </si>
  <si>
    <t>BOK CHOY, CHOPPED (4 X 5# CASE)</t>
  </si>
  <si>
    <t>BC</t>
  </si>
  <si>
    <t>Jalapenos</t>
  </si>
  <si>
    <t>JALAPENO, SLICED (2X5#CASE)</t>
  </si>
  <si>
    <t>JS</t>
  </si>
  <si>
    <t>GREEN ONION, SLICED, (2X5#CASE)</t>
  </si>
  <si>
    <t>GRO10</t>
  </si>
  <si>
    <t>Onions, Green 4x2#</t>
  </si>
  <si>
    <t>MIKE</t>
  </si>
  <si>
    <t>CARROTS, BABY, (50 X 2oz)</t>
  </si>
  <si>
    <t>ONIONS, RED RINGS (2# BAG)</t>
  </si>
  <si>
    <t>AS50</t>
  </si>
  <si>
    <t>Asparagus, 11# standard</t>
  </si>
  <si>
    <t>Beans, Various, #10 can</t>
  </si>
  <si>
    <t>BEANS, VARIOUS (50 x 2oz)</t>
  </si>
  <si>
    <t>BEAN50</t>
  </si>
  <si>
    <t>Cost/Oz</t>
  </si>
  <si>
    <t>Item 1</t>
  </si>
  <si>
    <t>Item 2</t>
  </si>
  <si>
    <t>Combined Unit Cost</t>
  </si>
  <si>
    <t>25% Markup</t>
  </si>
  <si>
    <t>30% Markup</t>
  </si>
  <si>
    <t>35% Markup</t>
  </si>
  <si>
    <t>40% Markup</t>
  </si>
  <si>
    <t>Item Name</t>
  </si>
  <si>
    <t>$15.00 for Ranch</t>
  </si>
  <si>
    <t>$18.40/ 100 cups cost</t>
  </si>
  <si>
    <t>JALAPENO, WHOLE, (5# CASE)</t>
  </si>
  <si>
    <t>CELERY  / GRAPE TOMATOES (50 X 2oz)</t>
  </si>
  <si>
    <t>CELERY / PEARS (50 X 2oz)</t>
  </si>
  <si>
    <t>CELERY /  RED GRAPES (50 X 2.5oz)</t>
  </si>
  <si>
    <t>GRAPE TOMATO / RED GRAPE (50 X 2.5oz)</t>
  </si>
  <si>
    <t>BROCCOLI / GRAPE TOMATO (50 X 2oz)</t>
  </si>
  <si>
    <t>CARROT /  BROCCOLI (50 X 2oz)</t>
  </si>
  <si>
    <t>GRAPE TOMATO / MANGO (50 X 2oz)</t>
  </si>
  <si>
    <t>MANGO, CHUNKS (50x2oz)</t>
  </si>
  <si>
    <t>APPLE / CARROT (50 X 2oz)</t>
  </si>
  <si>
    <t>APPLE / CELERY (50/2oz)</t>
  </si>
  <si>
    <t>BROCCOLI / CAULIFLOWER (50 X 2oz)</t>
  </si>
  <si>
    <t>APPLE / RED GRAPE (50 X 2.3oz)</t>
  </si>
  <si>
    <t>APPLE / PEAR (50/2oz)</t>
  </si>
  <si>
    <t>CANTALOUPE / HONEYDEW (50 X 2.7oz)</t>
  </si>
  <si>
    <t>JICAMA / MANGO (50 X 2oz)</t>
  </si>
  <si>
    <t>JICAMA / PINEAPPLE (50 X 2.3oz)</t>
  </si>
  <si>
    <t>PINEAPPLE  (50 X 2.3oz)</t>
  </si>
  <si>
    <t>APPLE / TURNIP (50/2oz)</t>
  </si>
  <si>
    <t>TURNIP STICKS (50 X 2oz)</t>
  </si>
  <si>
    <t>CUCUMBER /  PINEAPPLE (50 X 2.3oz)</t>
  </si>
  <si>
    <t>JW5</t>
  </si>
  <si>
    <t>APPLE, GREEN WEDGES (4 X 3)</t>
  </si>
  <si>
    <t>APPLE, RED WEDGES (50 X 2oz)</t>
  </si>
  <si>
    <t>APPLE, RED WEDGES (100 X 2oz)</t>
  </si>
  <si>
    <t>APPLE, GREEN WEDGES (50 X 2oz)</t>
  </si>
  <si>
    <t>APPLE, GREEN WEDGES (100 X 2oz)</t>
  </si>
  <si>
    <t>ASPARAGUS STICKS (50 X 2oz)</t>
  </si>
  <si>
    <t>BABY CARROTS  (100 X 2oz)</t>
  </si>
  <si>
    <t>BABY CARROTS  (50 X 2oz)</t>
  </si>
  <si>
    <t>BEETS, DICED (2X5#CASE)</t>
  </si>
  <si>
    <t>APPLE, GREEN DICED (4X5# CASE)</t>
  </si>
  <si>
    <t>APPLE, RED DICED (4X5# CASE)</t>
  </si>
  <si>
    <t>APPLE, RED WEDGES (4X3#CASE)</t>
  </si>
  <si>
    <t>ACORN SQUASH, DICED  (4X5#CASE)</t>
  </si>
  <si>
    <t>BEETS, CANDYSTRIPE (50 X 2oz)</t>
  </si>
  <si>
    <t>BLOOD ORANGE WEDGES (50 X 3.5oz)</t>
  </si>
  <si>
    <t>BLUEBERRIES  (50 X 2oz)</t>
  </si>
  <si>
    <t xml:space="preserve">BROCCOLI FLORET  (50 X 2oz) </t>
  </si>
  <si>
    <t>BROCCOLI FLORETS (4X3# CASE)</t>
  </si>
  <si>
    <t>BROCCOLI SLAW (4X3#CASE)</t>
  </si>
  <si>
    <t>GRAPES, RED  (50 X 3oz)</t>
  </si>
  <si>
    <t>GRAPES, RED  (100 X 3oz)</t>
  </si>
  <si>
    <t>GRAPES, RED  (5# CASE)</t>
  </si>
  <si>
    <t>CARROTS, RAINBOW COINS  (50 X 2oz)</t>
  </si>
  <si>
    <t>CARROTS, RAINBOW COINS  (100 X 2oz)</t>
  </si>
  <si>
    <t>CARROTS, RAINBOW COINS (50 X 2oz) W/ LIGHT RANCH</t>
  </si>
  <si>
    <t>CARROTS, COINS  (50 X 2oz)</t>
  </si>
  <si>
    <t>CARROTS, COINS  (50 X 2oz) W/ LIGHT RANCH</t>
  </si>
  <si>
    <t>CAULIFLOWER FLORET  (50 X 2oz)</t>
  </si>
  <si>
    <t>CELERY STICKS  (50 X 2oz)</t>
  </si>
  <si>
    <t>CELERY STICKS  (50 X 2oz) W/ LIGHT RANCH</t>
  </si>
  <si>
    <t>CARROTS, COINS (4X5# CASE)</t>
  </si>
  <si>
    <t>CARROTS, DICED (2X5# CASE)</t>
  </si>
  <si>
    <t>CARROTS, DICED (4X5#  CASE)</t>
  </si>
  <si>
    <t>CARROTS, PEELED (4X5# CASE)</t>
  </si>
  <si>
    <t>CAULIFLOWER FLORETS (4X3# CASE)</t>
  </si>
  <si>
    <t>CELERY STICKS (4X5# CASE)</t>
  </si>
  <si>
    <t>CELERY, DICED (2X5# CASE)</t>
  </si>
  <si>
    <t>CELERY, DICED (4X5# CASE)</t>
  </si>
  <si>
    <t>CILANTRO, CLEAN &amp; TRIM (4X1# CASE)</t>
  </si>
  <si>
    <t>COLESLAW, DICED (4X5# CASE)</t>
  </si>
  <si>
    <t>COLESLAW, FINE SHREDDED, (4X5# CASE)</t>
  </si>
  <si>
    <t>COLESLAW, SAVOY BLEND (2X5# CASE)</t>
  </si>
  <si>
    <t>COLESLAW, SHREDDED MIX (4X5# CASE)</t>
  </si>
  <si>
    <t>COLLARDS, CLEANED/CUT (6X2# CASE)</t>
  </si>
  <si>
    <t>CUCUMBER, COINS (50 X 2oz) W/ LIGHT RANCH</t>
  </si>
  <si>
    <t>CUCUMBER, COINS (50 X 2oz)</t>
  </si>
  <si>
    <t>CUCUMBER, WHOLE (5# CASE)</t>
  </si>
  <si>
    <t>DRAGON FRUIT, WEDGES (50 X 2oz)</t>
  </si>
  <si>
    <t>FRENCH FRIES (4X5# CASE)</t>
  </si>
  <si>
    <t>GRAPE TOMATO  (50 X 2oz) W/ LIGHT RANCH</t>
  </si>
  <si>
    <t>GRAPE TOMATO  (50 X 2oz)</t>
  </si>
  <si>
    <t>FRUIT, MIXED (2X5# CASE)</t>
  </si>
  <si>
    <t>GREEN BEANS  (50 X 2oz)</t>
  </si>
  <si>
    <t>GUAVA, WEDGES  (50 X 2oz)</t>
  </si>
  <si>
    <t>HONEYDEW, SLICED (2X5# CASE)</t>
  </si>
  <si>
    <t>HONEYDEW, CUBED (5# CASE)</t>
  </si>
  <si>
    <t>JICAMA, STICKS (50 X 2oz)</t>
  </si>
  <si>
    <t>JICAMA, STICKS (50 X 2oz) W/ LIGHT RANCH</t>
  </si>
  <si>
    <t>JICAMA, SHRED 1/8' (2X5# CASE)</t>
  </si>
  <si>
    <t>CONCHA</t>
  </si>
  <si>
    <t>33 MIKE</t>
  </si>
  <si>
    <t>SNACK PACKS</t>
  </si>
  <si>
    <t>CARROT /  PEARS (50 X 2oz)</t>
  </si>
  <si>
    <t>CARROT /  CELERY (50 X 2oz)</t>
  </si>
  <si>
    <t>BAD FORMULA - not 50/50, should be 85/15</t>
  </si>
  <si>
    <t>Potatoes, Sweet WHITE</t>
  </si>
  <si>
    <t>SWEET WHITE POTATO STICKS, SNAKPAK (50 X 2oz)</t>
  </si>
  <si>
    <t>SWEET WHITE POTATO STICKS, SNAKPAK (50 X 2oz) W/ LIGHT RANCH</t>
  </si>
  <si>
    <t>SWW50</t>
  </si>
  <si>
    <t>SWW5W</t>
  </si>
  <si>
    <t>STRAWBERRIES, WHITE, TRIMMED (50 X 2oz)</t>
  </si>
  <si>
    <t>STRW50</t>
  </si>
  <si>
    <t>Strawberries, White</t>
  </si>
  <si>
    <t>GRAPES, COTTON CANDY  (50 X 3oz)</t>
  </si>
  <si>
    <t>Grapes, Cotton Candy</t>
  </si>
  <si>
    <t xml:space="preserve"> average (18.26 x 1.20 matching) = $21.91</t>
  </si>
  <si>
    <t xml:space="preserve">Pepper Mix </t>
  </si>
  <si>
    <t xml:space="preserve">Pico de Gallo </t>
  </si>
  <si>
    <t>PEAR / GRAPE (50 X 2.3oz)</t>
  </si>
  <si>
    <t>Beets, Gold 25#</t>
  </si>
  <si>
    <t>BEETS, CANDY STRIPE DICED (2X5#CASE)</t>
  </si>
  <si>
    <t>BEETS, GOLD DICED (2X5#CASE)</t>
  </si>
  <si>
    <t>PEPPER RED / YELLOW MATCHSTICK</t>
  </si>
  <si>
    <t>CHAYOTE, SQUASH 2" MATCHSTICK (2X5# CASE)</t>
  </si>
  <si>
    <t>CSM</t>
  </si>
  <si>
    <t xml:space="preserve">Squash, Chayote </t>
  </si>
  <si>
    <t xml:space="preserve">Fruit Mix </t>
  </si>
  <si>
    <t>PRICE</t>
  </si>
  <si>
    <t>PICO DE GALLO</t>
  </si>
  <si>
    <t xml:space="preserve">BROCCOLI FLORET  (50 X 4oz) </t>
  </si>
  <si>
    <t>SUGAR SNAPS, SNAKPAK  (50 X 4oz)</t>
  </si>
  <si>
    <t>NAPA CABBAGE, SHREDDED (2 X 5)</t>
  </si>
  <si>
    <t xml:space="preserve">30% MARK UP </t>
  </si>
  <si>
    <t xml:space="preserve">APPLE / RED GRAPES </t>
  </si>
  <si>
    <t>Broccoli Slaw</t>
  </si>
  <si>
    <t xml:space="preserve">Pepper Red &amp; Yellow </t>
  </si>
  <si>
    <t>Item 3</t>
  </si>
  <si>
    <t>TROPICAL BLEND (50/2.7oz)</t>
  </si>
  <si>
    <t>BROCCOLI SLAW (4X3#CS)</t>
  </si>
  <si>
    <t xml:space="preserve">PRODUCT </t>
  </si>
  <si>
    <t>JICAMA, SHRED 1/8' (5# CASE)</t>
  </si>
  <si>
    <t xml:space="preserve">TRICOLOR CAULIFLOWER </t>
  </si>
  <si>
    <t>CAULIFLOWER FLORETS MULTICOLOR (4X3# CASE)</t>
  </si>
  <si>
    <t xml:space="preserve">Potato, Yukon </t>
  </si>
  <si>
    <t>MANGO, CUBED (5# CASE)</t>
  </si>
  <si>
    <t>CARROT STICKS MCENTIRE (4# CASE)</t>
  </si>
  <si>
    <t xml:space="preserve">UNIT COST </t>
  </si>
  <si>
    <t>MARK UP $</t>
  </si>
  <si>
    <t>PERCENTAGE</t>
  </si>
  <si>
    <t>GRAPES, RED  (1# CASE)</t>
  </si>
  <si>
    <t>BROCCOLI / SUGAR SNAPS (50 X 2oz)</t>
  </si>
  <si>
    <t>CANTALOUPE / GRAPES (50 X 2.7oz)</t>
  </si>
  <si>
    <t>CANTALOUPE / PINEAPPLES (50 X 2.3oz)</t>
  </si>
  <si>
    <t>CARROT / SUGAR SNAPS (50 X 2oz)</t>
  </si>
  <si>
    <t>CAULIFLOWER / GRAPE TOMATO (50 X 2oz)</t>
  </si>
  <si>
    <t>GRAPES / PINEAPPLES (50 X 2.3oz)</t>
  </si>
  <si>
    <t>HONEYDEW / GRAPES (50 X 2.7oz)</t>
  </si>
  <si>
    <t>HONEDEW / PINEAPPLES (50 X 2.3oz)</t>
  </si>
  <si>
    <t>JICAMA / GRAPES (50 X 2.3oz)</t>
  </si>
  <si>
    <t>SUGARSNAPS / PEPPER STICKS (50 X 2oz)</t>
  </si>
  <si>
    <t>STRAWBERRIES / BLUEBERRIES (50 X 2oz)</t>
  </si>
  <si>
    <t>CARROT /  GRAPE TOMATO  (50 X 2oz)</t>
  </si>
  <si>
    <t xml:space="preserve">FRUIT MIX </t>
  </si>
  <si>
    <t>APPLE SNACK PACK 50CT</t>
  </si>
  <si>
    <t>APPLE SNACK PACK 100CT</t>
  </si>
  <si>
    <t>APPLE BULK 4/3</t>
  </si>
  <si>
    <t>APPLE BULK 4/5</t>
  </si>
  <si>
    <t>POTATOES 2/5</t>
  </si>
  <si>
    <t>POTATOES 4/5</t>
  </si>
  <si>
    <t>POTATOES 2/10</t>
  </si>
  <si>
    <t>TRAY / CHEMICAL</t>
  </si>
  <si>
    <t>MCENTIRE</t>
  </si>
  <si>
    <t>STRAWBERRIES / GRAPES</t>
  </si>
  <si>
    <t>TOMATO BAG 4/5</t>
  </si>
  <si>
    <t xml:space="preserve">APPLE RED WEDGES </t>
  </si>
  <si>
    <t>APPLE GREEN WEDGES</t>
  </si>
  <si>
    <t>BLUEBERRIES</t>
  </si>
  <si>
    <t>HONEYDEW CHUNKS</t>
  </si>
  <si>
    <t>WHITE GRAPES LOOSE</t>
  </si>
  <si>
    <t>RED GRAPES LOOSE</t>
  </si>
  <si>
    <t xml:space="preserve">CANTALOUPE CHUNKS </t>
  </si>
  <si>
    <t xml:space="preserve">KIWI WEDGES </t>
  </si>
  <si>
    <t>MANGO CHUNKS</t>
  </si>
  <si>
    <t xml:space="preserve">ORANGES WEDGES </t>
  </si>
  <si>
    <t>PEAR WEDGES</t>
  </si>
  <si>
    <t xml:space="preserve">PINEAPPLE CHUNKS </t>
  </si>
  <si>
    <t>STRAWBERRIES TRIMMED</t>
  </si>
  <si>
    <t>WATERMELON CUPS</t>
  </si>
  <si>
    <t>PRICE PER CASE</t>
  </si>
  <si>
    <t>PER CUP</t>
  </si>
  <si>
    <t>WITH TAJIN</t>
  </si>
  <si>
    <t>WITH RANCH</t>
  </si>
  <si>
    <t>ADD $2.00</t>
  </si>
  <si>
    <t xml:space="preserve">ADD $2.50 </t>
  </si>
  <si>
    <t>A-Apples CHL 100/2oz</t>
  </si>
  <si>
    <t>A-Apples, Green Diced 1" 4/5#</t>
  </si>
  <si>
    <t>A-Apples, Green Sliced 10/1#</t>
  </si>
  <si>
    <t>A-Apples, Green/Pear 100/2oz</t>
  </si>
  <si>
    <t>A-Apples, Red Diced 1" 4/5#</t>
  </si>
  <si>
    <t>A-Apples, Red Sliced 10/1#</t>
  </si>
  <si>
    <t>A-Apples, Red Sliced 4/3#</t>
  </si>
  <si>
    <t>A-Apples, Red Wedged 5#</t>
  </si>
  <si>
    <t>A-Apples, Sliced Gala 100/2oz.</t>
  </si>
  <si>
    <t>A-Apples/Carrot 50/2oz</t>
  </si>
  <si>
    <t>A-Apples/Carrot w/Ranch 50/2oz</t>
  </si>
  <si>
    <t>A-Apples/Carrot w/Tajin 50/2oz</t>
  </si>
  <si>
    <t>A-Apples/Celery 50/2oz</t>
  </si>
  <si>
    <t>A-Apples/Celery w/Ranch 50/2oz</t>
  </si>
  <si>
    <t>A-Apples/Celery w/Tajin 50/2oz</t>
  </si>
  <si>
    <t>A-Apples/Grapes 50/2.3oz</t>
  </si>
  <si>
    <t>A-Apples/Grapes w/Tajin 50/2.3oz</t>
  </si>
  <si>
    <t>A-Apples/Pears 50/2oz</t>
  </si>
  <si>
    <t>A-Apples/Pears w/Tajin 50/2oz</t>
  </si>
  <si>
    <t>A-Apples/Turnips 50/2oz</t>
  </si>
  <si>
    <t>A-Apples/Turnips w/Tajin 50/2oz</t>
  </si>
  <si>
    <t>A-Asparagus 50/2oz</t>
  </si>
  <si>
    <t>A-Asparagus w/Ranch 50/2oz</t>
  </si>
  <si>
    <t>A-Asparagus w/Tajin 50/2oz</t>
  </si>
  <si>
    <t>B-Beet, Gold Coin Cut 50/2oz</t>
  </si>
  <si>
    <t>B-Beets, Diced CANDY STRIPE 1' 2/5#</t>
  </si>
  <si>
    <t>B-Beets, Diced GOLD 1" 2/5#</t>
  </si>
  <si>
    <t>B-Beets, Diced RED 1" 2/5#</t>
  </si>
  <si>
    <t>B-Beets, Gold Coins w/Ranch 50/2oz</t>
  </si>
  <si>
    <t>B-Beets, Gold Coins w/Tajin 50/2oz</t>
  </si>
  <si>
    <t>B-Beets, Peeled 2/5#</t>
  </si>
  <si>
    <t>B-Beets, Sliced 2/5#</t>
  </si>
  <si>
    <t>B-Black Beans 50/4oz</t>
  </si>
  <si>
    <t>B-Blueberries 50/2oz</t>
  </si>
  <si>
    <t>B-Blueberries w/Tajin 50/2oz</t>
  </si>
  <si>
    <t>B-Bok Choy, Chopped 4/5#</t>
  </si>
  <si>
    <t>B-Broc/Cauliflower w/Ranch 50/2oz</t>
  </si>
  <si>
    <t>B-Broc/Cauliflower w/Tajin 50/2oz</t>
  </si>
  <si>
    <t>B-Broccoli 50/2oz</t>
  </si>
  <si>
    <t>B-Broccoli 50/4oz</t>
  </si>
  <si>
    <t>B-Broccoli Slaw 4/3#</t>
  </si>
  <si>
    <t>B-Broccoli w/Ranch 50/2oz</t>
  </si>
  <si>
    <t>B-Broccoli w/Tajin 50/2oz</t>
  </si>
  <si>
    <t>B-Broccoli/Cauilflower 50/2oz</t>
  </si>
  <si>
    <t>B-Broccoli/Grape Tom w/Ranch 50/2oz</t>
  </si>
  <si>
    <t>B-Broccoli/Grape Tom w/Tajin 50/2oz</t>
  </si>
  <si>
    <t>B-Broccoli/Grape Tomato 50/2oz</t>
  </si>
  <si>
    <t>B-Broccoli/Sugar Snap 50/2oz</t>
  </si>
  <si>
    <t>B-Broccoli/SugarSnap w/Ranch 50/2oz</t>
  </si>
  <si>
    <t>B-Broccoli/SugarSnap w/Tajin 50/2oz</t>
  </si>
  <si>
    <t>B-Brussel Sprout, Halved 4/5#</t>
  </si>
  <si>
    <t>B-Brussel Sprouts, Shaved 4/5#</t>
  </si>
  <si>
    <t>B-Brussel Sprouts, Shredded 4/5#</t>
  </si>
  <si>
    <t>C-Cabbage, Chopped 4/5#</t>
  </si>
  <si>
    <t>C-Cabbage, Green 1/4" Diced 4/5#</t>
  </si>
  <si>
    <t>C-Cabbage, Red 1/8" Julienne 4/5#</t>
  </si>
  <si>
    <t>C-Cabbage, Red Shred 4/5#</t>
  </si>
  <si>
    <t>C-Cantalope/Grape 50/2.7oz</t>
  </si>
  <si>
    <t>C-Cantalope/Grape w/Tajin 50/2.7oz</t>
  </si>
  <si>
    <t>C-Cantalope/Honeyd w/Tajin 50/2.7oz</t>
  </si>
  <si>
    <t>C-Cantalope/Pineap w/Tajin 50/2.7oz</t>
  </si>
  <si>
    <t>C-Cantaloupe 50/2.7oz</t>
  </si>
  <si>
    <t>C-Cantaloupe w/Tajin 50/2.7oz</t>
  </si>
  <si>
    <t>C-Cantaloupe, Chunk 5#</t>
  </si>
  <si>
    <t>C-Cantaloupe, Peeled and Halved 5#</t>
  </si>
  <si>
    <t>C-Cantaloupe/Honeydew 50/2.7oz</t>
  </si>
  <si>
    <t>C-Cantaloupe/Pineapple 50/2.7oz</t>
  </si>
  <si>
    <t>C-Carrot/Grape Tomato w/Ranch50/2oz</t>
  </si>
  <si>
    <t>C-Carrot/GrapeTomato w/Tajin 50/2oz</t>
  </si>
  <si>
    <t>C-Carrot/Sugar Snap 50/2oz</t>
  </si>
  <si>
    <t>C-Carrot/Sugar Snap w/Ranch 50/2oz</t>
  </si>
  <si>
    <t>C-Carrot/Sugar Snap w/Tajin 50/2oz</t>
  </si>
  <si>
    <t>C-Carrots 50/4oz</t>
  </si>
  <si>
    <t>C-Carrots Coin Cut 50/2oz</t>
  </si>
  <si>
    <t>C-Carrots Coin Cut w/Ranch 50/2oz</t>
  </si>
  <si>
    <t>C-Carrots Coin Cut w/Tajin 50/2oz</t>
  </si>
  <si>
    <t>C-Carrots w/Ranch 50/2oz</t>
  </si>
  <si>
    <t>C-Carrots w/Tajin 50/2oz</t>
  </si>
  <si>
    <t>C-Carrots, Baby 100/2oz</t>
  </si>
  <si>
    <t>C-Carrots, Baby 50/2oz</t>
  </si>
  <si>
    <t>C-Carrots, Coin Cut 4/5#</t>
  </si>
  <si>
    <t>C-Carrots, Diced 2/5#</t>
  </si>
  <si>
    <t>C-Carrots, Match Stick 4/5#</t>
  </si>
  <si>
    <t>C-Carrots, Rainbow 50/2oz</t>
  </si>
  <si>
    <t>C-Carrots, Rainbow 50/2oz w/Tajin</t>
  </si>
  <si>
    <t>C-Carrots, Rainbow w/Ranch 50/2oz</t>
  </si>
  <si>
    <t>C-Carrots, Sticks 4/5#</t>
  </si>
  <si>
    <t>C-Carrots, Whole Peeled 4/5#</t>
  </si>
  <si>
    <t>C-Carrots/Broccoli 50/2oz</t>
  </si>
  <si>
    <t>C-Carrots/Broccoli w/Ranch 50/2oz</t>
  </si>
  <si>
    <t>C-Carrots/Broccoli w/Tajin 50/2oz</t>
  </si>
  <si>
    <t>C-Carrots/Celery 50/2oz</t>
  </si>
  <si>
    <t>C-Carrots/Celery w/Ranch 50/2oz</t>
  </si>
  <si>
    <t>C-Carrots/Celery w/Tajin 50/2oz</t>
  </si>
  <si>
    <t>C-Carrots/Grape Tomato 50/2oz</t>
  </si>
  <si>
    <t>C-Cauliflow/GrapeTom w/Tajin 50/2oz</t>
  </si>
  <si>
    <t>C-Cauliflower 50/2oz</t>
  </si>
  <si>
    <t>C-Cauliflower Florets 4/3#</t>
  </si>
  <si>
    <t>C-Cauliflower w/Ranch 50/2oz</t>
  </si>
  <si>
    <t>C-Cauliflower w/Tajin 50/2oz</t>
  </si>
  <si>
    <t>C-Cauliflower, Color 50/2oz w/Ranch</t>
  </si>
  <si>
    <t>C-Cauliflower, Tri-Color 50/2oz</t>
  </si>
  <si>
    <t>C-Cauliflower/Grape Tomato 50/2oz</t>
  </si>
  <si>
    <t>C-Cauliflower/GrapeTom w/Ranch 50/2</t>
  </si>
  <si>
    <t>C-CauliflowerTri-Color w/Tajin 50/2</t>
  </si>
  <si>
    <t>C-Celery 50/2oz</t>
  </si>
  <si>
    <t>C-Celery Root, Diced 2/5#</t>
  </si>
  <si>
    <t>C-Celery w/Ranch 50/2oz</t>
  </si>
  <si>
    <t>C-Celery w/Tajin 50/2oz</t>
  </si>
  <si>
    <t>C-Celery, Sliced 2/5#</t>
  </si>
  <si>
    <t>C-Celery, Sticks 4/5#</t>
  </si>
  <si>
    <t>C-Celery/Grape Tom w/Ranch 50/2oz</t>
  </si>
  <si>
    <t>C-Celery/Grape Tom w/Tajin 50/2oz</t>
  </si>
  <si>
    <t>C-Celery/Grape Tomato 50/2oz</t>
  </si>
  <si>
    <t>C-Cilantro, W&amp;t 4/1#</t>
  </si>
  <si>
    <t>C-Coleslaw Savoy 2/5#</t>
  </si>
  <si>
    <t>C-Coleslaw, Diced 4/5#</t>
  </si>
  <si>
    <t>C-Coleslaw, Diced 4/5# MAURICES</t>
  </si>
  <si>
    <t>C-Coleslaw, Diced 4/5# ZESTO'S</t>
  </si>
  <si>
    <t>C-Coleslaw, Diced Fine 4/5#</t>
  </si>
  <si>
    <t>C-Coleslaw, Mix 4/5#</t>
  </si>
  <si>
    <t>C-Coleslaw, No Color CFA</t>
  </si>
  <si>
    <t>C-Collards, Chopped 6/2#</t>
  </si>
  <si>
    <t>C-Collards, Shredded 6/2#</t>
  </si>
  <si>
    <t>C-Corn, White Shucked Halved</t>
  </si>
  <si>
    <t>C-Corn, White Shucked Whole</t>
  </si>
  <si>
    <t>C-Corn, Yellow Shucked Halved</t>
  </si>
  <si>
    <t>C-Corn, Yellow Shucked Whole</t>
  </si>
  <si>
    <t>C-Cucumbers 50/2oz</t>
  </si>
  <si>
    <t>C-Cucumbers 50/4oz</t>
  </si>
  <si>
    <t>C-Cucumbers w/Ranch 50/2oz</t>
  </si>
  <si>
    <t>C-Cucumbers w/Tajin 50/2oz</t>
  </si>
  <si>
    <t>C-Cucumbers, Diced 2/5#</t>
  </si>
  <si>
    <t>C-Cucumbers, Half Moon (Thin) 2/5#</t>
  </si>
  <si>
    <t>C-Cucumbers, Sliced 2/5#</t>
  </si>
  <si>
    <t>D-Daikon Coin w/Tajin 50/2oz</t>
  </si>
  <si>
    <t>D-Daikon, Coin Cut 50/2oz</t>
  </si>
  <si>
    <t>D-Daikon, Coin w/Ranch 50/2oz</t>
  </si>
  <si>
    <t>D-Dragon Fruit 50/2oz</t>
  </si>
  <si>
    <t>D-Dragon Fruit w/Tajin 50/2oz</t>
  </si>
  <si>
    <t>F-Fruit Mix, Chopped 5#</t>
  </si>
  <si>
    <t>G-Grape 50/3oz</t>
  </si>
  <si>
    <t>G-Grape sdls 100/3oz</t>
  </si>
  <si>
    <t>G-Grape w/Tajin 50/3oz</t>
  </si>
  <si>
    <t>G-Grape, Cotton Candy 50/3oz</t>
  </si>
  <si>
    <t>G-Grape/Celery 50/2.3oz</t>
  </si>
  <si>
    <t>G-Grape/Celery w/Tajin 50/2.3oz</t>
  </si>
  <si>
    <t>G-Grape/Jicama 50/2.3oz</t>
  </si>
  <si>
    <t>G-Grape/Jicama w/Tajin 50/2.3oz</t>
  </si>
  <si>
    <t>G-Grapefruit, Wedged #5</t>
  </si>
  <si>
    <t>G-Grapes, Loose Red 5#</t>
  </si>
  <si>
    <t>G-Grapes, Loose White 5#</t>
  </si>
  <si>
    <t>G-Grapes/Grape Tomato 50/2.3oz</t>
  </si>
  <si>
    <t>G-Grapes/GrapeTom w/Tajin 50/2.3oz</t>
  </si>
  <si>
    <t>G-Guava 50/2oz</t>
  </si>
  <si>
    <t>G-Guava w/Tajin 50/2oz</t>
  </si>
  <si>
    <t>H-Honeydew 50/2.7oz</t>
  </si>
  <si>
    <t>H-Honeydew w/Tajin 50/2.7oz</t>
  </si>
  <si>
    <t>H-Honeydew/Grape 50/2.7oz</t>
  </si>
  <si>
    <t>H-Honeydew/Grape w/Tajin 50/2.7oz</t>
  </si>
  <si>
    <t>H-Honeydew/Pineapp w/Tajin 50/2.7oz</t>
  </si>
  <si>
    <t>H-Honeydew/Pineapple 50/2oz</t>
  </si>
  <si>
    <t>H-Honeydews, Chunk 5#</t>
  </si>
  <si>
    <t>H-Honeydews, Peeled and Halved 5#</t>
  </si>
  <si>
    <t>J-Jicama 2" Matchstick 5# TRAY</t>
  </si>
  <si>
    <t>J-Jicama 50/2oz</t>
  </si>
  <si>
    <t>J-Jicama 50/2oz w/Tajin</t>
  </si>
  <si>
    <t>J-Jicama w/Ranch 50/2oz</t>
  </si>
  <si>
    <t>J-Jicama, Shredded 2/5#</t>
  </si>
  <si>
    <t>K-Kiwi 50/2oz</t>
  </si>
  <si>
    <t>K-Kiwi, Golden 50/2oz</t>
  </si>
  <si>
    <t>K-Kiwi, Peeled &amp; Sliced 5#</t>
  </si>
  <si>
    <t>K-Kumquats 50/2oz</t>
  </si>
  <si>
    <t>L-Lemons Wedges 2/5#</t>
  </si>
  <si>
    <t>L-Lime Wedge 2/5#</t>
  </si>
  <si>
    <t>M-Mango 50/2oz</t>
  </si>
  <si>
    <t>M-Mango Diced 5#</t>
  </si>
  <si>
    <t>M-Mango w/Tajin 50/2oz</t>
  </si>
  <si>
    <t>M-Mango/Grape Tomato 50/2oz</t>
  </si>
  <si>
    <t>M-Mango/Grape Tomato w/Tajin 50/2oz</t>
  </si>
  <si>
    <t>M-Mango/Jicama 50/2oz</t>
  </si>
  <si>
    <t>M-Mango/Jicama w/Tajin 50/2oz</t>
  </si>
  <si>
    <t>M-Mushrooms, 5# Sliced 1/8" BLAZE</t>
  </si>
  <si>
    <t>M-Mushrooms, Sliced 10#</t>
  </si>
  <si>
    <t>M-Mushrooms, Sliced 5#</t>
  </si>
  <si>
    <t>M-Mushrooms, Sliced Cremini 5#</t>
  </si>
  <si>
    <t>M-Mustard Greens, Chopped 8/1#</t>
  </si>
  <si>
    <t>N-Napa, Cabbage 1/2" Diced 4/5#</t>
  </si>
  <si>
    <t>N-Napa, Cabbage Shredded 4/5#</t>
  </si>
  <si>
    <t>O-Okra, Cut 3/8" 2/5#</t>
  </si>
  <si>
    <t>O-Onions, Red 1/8" Juliene 2/5#</t>
  </si>
  <si>
    <t>O-Onions, Red Diced 4/5#</t>
  </si>
  <si>
    <t>O-Onions, Red Julienne 1/8"2/5 BLAZ</t>
  </si>
  <si>
    <t>O-Onions, Red Sliced 2/5#</t>
  </si>
  <si>
    <t>O-Onions, Sweet Diced 3/8" 4/5#</t>
  </si>
  <si>
    <t>0148B</t>
  </si>
  <si>
    <t>O-Onions, Yellow 1/5# Sliced</t>
  </si>
  <si>
    <t>O-Onions, Yellow Diced 1/4" 4/5#</t>
  </si>
  <si>
    <t>O-Onions, Yellow Diced 2/5#</t>
  </si>
  <si>
    <t>O-Onions, Yellow Diced 4/5#</t>
  </si>
  <si>
    <t>O-Onions, Yellow Juliene 1/8" 2/5#</t>
  </si>
  <si>
    <t>O-Onions, Yellow Ring Cut 1/8" 2/5#</t>
  </si>
  <si>
    <t>O-Onions, Yellow Sliced 2/5#</t>
  </si>
  <si>
    <t>O-Onions, Yellow Whole Peeled 2/10#</t>
  </si>
  <si>
    <t>O-Orange, Blood 50/3.5 oz</t>
  </si>
  <si>
    <t>O-Oranges 50/4.7oz</t>
  </si>
  <si>
    <t>O-Oranges Peeled and Sectioned 5#</t>
  </si>
  <si>
    <t>O-Oranges w/Tajin 50/4.7oz</t>
  </si>
  <si>
    <t>P-Pad Thai Mix 4X3#</t>
  </si>
  <si>
    <t>P-Papaya 50/2oz</t>
  </si>
  <si>
    <t>P-Papaya w/Tajin 50/2oz</t>
  </si>
  <si>
    <t>P-Parsnip Coin Cut 1/2" 2/5#</t>
  </si>
  <si>
    <t>P-Parsnip Coin Cut 50/2oz</t>
  </si>
  <si>
    <t>P-Parsnip Coins w/Ranch 50/2oz</t>
  </si>
  <si>
    <t>P-Parsnip Coins w/Tajin 50/2oz</t>
  </si>
  <si>
    <t>P-Parsnip Diced 2/5#</t>
  </si>
  <si>
    <t>P-Pears 50/2oz</t>
  </si>
  <si>
    <t>P-Pears w/Tajin 50/2oz</t>
  </si>
  <si>
    <t>P-Pears/Carrots 50/2oz</t>
  </si>
  <si>
    <t>P-Pears/Carrots w/Ranch 50/2oz</t>
  </si>
  <si>
    <t>P-Pears/Carrots w/Tajin 50/2oz</t>
  </si>
  <si>
    <t>P-Pears/Celery 50/2oz</t>
  </si>
  <si>
    <t>P-Pears/Celery w/Ranch 50/2oz</t>
  </si>
  <si>
    <t>P-Pears/Celery w/Tajin 50/2oz</t>
  </si>
  <si>
    <t>P-Pears/Grape w/Tajin 50/2.3oz</t>
  </si>
  <si>
    <t>P-Pears/Grapes 50/2.3oz</t>
  </si>
  <si>
    <t>P-Pepper Sticks w/Ranch 50/2oz</t>
  </si>
  <si>
    <t>P-Pepper Sticks w/Tajin 50/2oz</t>
  </si>
  <si>
    <t>P-Pepper, Green Diced 2/5#</t>
  </si>
  <si>
    <t>P-Pepper, Green Julienne 2/5# BLAZE</t>
  </si>
  <si>
    <t>P-Pepper, Green Sliced 1/8" 2/5#</t>
  </si>
  <si>
    <t>P-Pepper, Jalapeno Diced 2/5#</t>
  </si>
  <si>
    <t>P-Pepper, Mini Sweet 50/2oz</t>
  </si>
  <si>
    <t>P-Pepper, Red Diced 2/5#</t>
  </si>
  <si>
    <t>P-Pepper, Red Julienne 2/5#</t>
  </si>
  <si>
    <t>P-Pepper, Red Sliced 2/5#</t>
  </si>
  <si>
    <t>P-Pepper, Red&amp;Yellow 2"L 1/8"W 2/5#</t>
  </si>
  <si>
    <t>P-Pepper, Sticks 50/2 oz</t>
  </si>
  <si>
    <t>P-Pepper, Suntan 3/8" 2/5#</t>
  </si>
  <si>
    <t>P-Pepper, Tri-color Kabob 2/5#</t>
  </si>
  <si>
    <t>P-Pepper, Tri-colored Diced 2/5#</t>
  </si>
  <si>
    <t>P-Pepper, Tri-colored Julienne 2/5#</t>
  </si>
  <si>
    <t>P-Pepper, Tri-colored Sliced 2/5#</t>
  </si>
  <si>
    <t>P-Pepper, Yellow Diced 2/5#</t>
  </si>
  <si>
    <t>P-Pepper, Yellow Julienne 2/5#</t>
  </si>
  <si>
    <t>P-Pico de Gallo 2/1gal</t>
  </si>
  <si>
    <t>P-Pineapple 50/2.3oz</t>
  </si>
  <si>
    <t>P-Pineapple w/Tajin 50/2.3oz</t>
  </si>
  <si>
    <t>P-Pineapple, Chunk 5#</t>
  </si>
  <si>
    <t>P-Pineapple, Peeled and Halved 5#</t>
  </si>
  <si>
    <t>P-Pineapple, Pink 50/2oz</t>
  </si>
  <si>
    <t>P-Pineapple, Rough Cut 5#</t>
  </si>
  <si>
    <t>P-Pineapple, Spears 5#</t>
  </si>
  <si>
    <t>P-Pineapple/Cuc. w/Tajin 50/2.3oz</t>
  </si>
  <si>
    <t>P-Pineapple/Cucumber 50/2.3oz</t>
  </si>
  <si>
    <t>P-Pineapple/Grape 50/2.3oz</t>
  </si>
  <si>
    <t>P-Pineapple/Grape w/Tajin 50/2.3oz</t>
  </si>
  <si>
    <t>P-Pineapple/Jicama 50/2.3oz</t>
  </si>
  <si>
    <t>P-Pineapple/Jicama w/Tajin 50/2.3oz</t>
  </si>
  <si>
    <t>P-Potato, Sweet w/Tajin 50/2oz</t>
  </si>
  <si>
    <t>P-Potatoes, 1" Peel/Chunk 4/5#</t>
  </si>
  <si>
    <t>P-Potatoes, Hash Browns 2/10#</t>
  </si>
  <si>
    <t>P-Potatoes, Raw Fries 4/5#</t>
  </si>
  <si>
    <t>P-Potatoes, Red Diced 4/5#</t>
  </si>
  <si>
    <t>P-Potatoes, Red Quartered 4/5#</t>
  </si>
  <si>
    <t>P-Potatoes, Russet Diced 4/5#</t>
  </si>
  <si>
    <t>P-Potatoes, Russet French Fries 4/5</t>
  </si>
  <si>
    <t>P-Potatoes, Russet Quartered 2/10#</t>
  </si>
  <si>
    <t>P-Potatoes, Russet Sliced 4/5#</t>
  </si>
  <si>
    <t>P-Potatoes, Russet W.peeled 2/10#</t>
  </si>
  <si>
    <t>P-Potatoes, Russet Wedge 2/10#</t>
  </si>
  <si>
    <t>P-Potatoes, Sweet 1" Chunked 4/5#</t>
  </si>
  <si>
    <t>P-Potatoes, Sweet Diced 4/5#</t>
  </si>
  <si>
    <t>P-Potatoes, Sweet Diced Skin-on 3/4</t>
  </si>
  <si>
    <t>P-Potatoes, Sweet French Fries 4/5#</t>
  </si>
  <si>
    <t>P-Potatoes, Sweet Peeled 4/5#</t>
  </si>
  <si>
    <t>P-Potatoes, Sweet Quartered 2/10#</t>
  </si>
  <si>
    <t>P-Potatoes, Sweet Shredded 4/5#</t>
  </si>
  <si>
    <t>P-Potatoes, Sweet Sliced 4/5#</t>
  </si>
  <si>
    <t>P-Potatoes, Sweet Stick 50/2oz</t>
  </si>
  <si>
    <t>P-Potatoes, Sweet Sticks 100/2oz</t>
  </si>
  <si>
    <t>P-Potatoes, Sweet Wedges 2/10#</t>
  </si>
  <si>
    <t>P-Potatoes, Sweet w/Ranch 50/2oz</t>
  </si>
  <si>
    <t>P-Potatoes, White Sweet 50/2oz</t>
  </si>
  <si>
    <t>P-Potatoes, White Swtw/Ranch 50/2oz</t>
  </si>
  <si>
    <t>P-Potatoes, Yukon W. Peeled 2/10#</t>
  </si>
  <si>
    <t>P-Pumpkin, Diced 2/5#</t>
  </si>
  <si>
    <t>0202B</t>
  </si>
  <si>
    <t>Pepper, Jalapeno - RPK 5#</t>
  </si>
  <si>
    <t>R-Radish Sticks w/Ranch 50/2oz</t>
  </si>
  <si>
    <t>R-Radish, Fine Diced 2/5#</t>
  </si>
  <si>
    <t>R-Radish, Sticks 50/2oz</t>
  </si>
  <si>
    <t>R-Root Veggie Mix 4/3#</t>
  </si>
  <si>
    <t>R-Rutabaga, Diced 4/5#</t>
  </si>
  <si>
    <t>R-Rutabagas, Diced 2/5#</t>
  </si>
  <si>
    <t>S-Shallots, Sliced 2/5#</t>
  </si>
  <si>
    <t>S-Squash Halfmoon 50/2oz</t>
  </si>
  <si>
    <t>S-Squash Halfmoon w/Ranch 50/2oz</t>
  </si>
  <si>
    <t>S-Squash Halfmoon w/Tajin 50/2oz</t>
  </si>
  <si>
    <t>S-Squash, Acorn Diced 4/5#</t>
  </si>
  <si>
    <t>S-Squash, Butternut 1" Chunked</t>
  </si>
  <si>
    <t>S-Squash, Butternut 3/4" Cut 6/20oz</t>
  </si>
  <si>
    <t>S-Squash, Butternut Diced 4/5#</t>
  </si>
  <si>
    <t>S-Squash, Butternut Stick 50/2oz</t>
  </si>
  <si>
    <t>S-Squash, Butternut w/ Ranch 50/2oz</t>
  </si>
  <si>
    <t>S-Squash, Chayote 2" Matchstick 2/5</t>
  </si>
  <si>
    <t>S-Squash, Yellow 1/2" Half Moon 2/5</t>
  </si>
  <si>
    <t>S-Squash, Yellow Coin Cut 5#</t>
  </si>
  <si>
    <t>S-Squash, Yellow Diced 2/5#</t>
  </si>
  <si>
    <t>S-Squash, Yellow Sliced 4/5#</t>
  </si>
  <si>
    <t>S-Squash, Zuc Halfmoonw/Ranch50/2oz</t>
  </si>
  <si>
    <t>S-Squash, Zuc Halfmoonw/Tajin50/2oz</t>
  </si>
  <si>
    <t>S-Squash, Zucc. 1/2" Half Moon 2/5</t>
  </si>
  <si>
    <t>S-Squash, Zucchini Coin Cut 5#</t>
  </si>
  <si>
    <t>S-Squash, Zucchini Diced 2/5#</t>
  </si>
  <si>
    <t>S-Squash, Zucchini Halfmoon 50/2oz</t>
  </si>
  <si>
    <t>S-Squash, Zucchini Noodles 2/5#</t>
  </si>
  <si>
    <t>S-Squash, Zucchini Sliced 4/5#</t>
  </si>
  <si>
    <t>S-Starfruit, Sliced #5</t>
  </si>
  <si>
    <t>S-Stir Fry 4/2#</t>
  </si>
  <si>
    <t>S-Strawberries, 50/2oz</t>
  </si>
  <si>
    <t>S-Strawberries, Quartered 5#</t>
  </si>
  <si>
    <t>S-Strawberries, Sliced 5#</t>
  </si>
  <si>
    <t>S-Strawberries, Trimmed 5#</t>
  </si>
  <si>
    <t>S-Strawberries, White 50/2oz</t>
  </si>
  <si>
    <t>S-Strawberry w/Tajin 50/2oz</t>
  </si>
  <si>
    <t>S-Strawberry/Blueber w/Tajin 50/2oz</t>
  </si>
  <si>
    <t>S-Strawberry/Blueberry 50/2oz</t>
  </si>
  <si>
    <t>S-Strawberry/Grapes 50/2.3oz</t>
  </si>
  <si>
    <t>S-Strawberry/Grapes w/Tajin 50/2oz</t>
  </si>
  <si>
    <t>S-Sugar Snap 50/2oz</t>
  </si>
  <si>
    <t>S-Sugar Snap w/Ranch 50/2oz</t>
  </si>
  <si>
    <t>S-Sugar Snap w/Tajin 50/2oz</t>
  </si>
  <si>
    <t>S-SugarSnap/Pepper Stick 50/2oz</t>
  </si>
  <si>
    <t>S-SugarSnap/Pepper w/Ranch 50/2oz</t>
  </si>
  <si>
    <t>S-SugarSnap/Pepper w/Tajin 50/2oz</t>
  </si>
  <si>
    <t>T-Tangerine 50/3.5oz</t>
  </si>
  <si>
    <t>T-Tangerine w/Tajin 50/3.5oz</t>
  </si>
  <si>
    <t>T-Tangerine, Peeled &amp; Sectioned 5#</t>
  </si>
  <si>
    <t>T-Tomato, Grape Tricolor 50/2oz</t>
  </si>
  <si>
    <t>T-Tomato,GrapeTricolor w/Ranch 50/2</t>
  </si>
  <si>
    <t>T-Tomato,GrapeTricolor w/Tajin 50/2</t>
  </si>
  <si>
    <t>T-Tomatoes, Diced  2/5#</t>
  </si>
  <si>
    <t>T-Tomatoes, Diced Green 2/5#</t>
  </si>
  <si>
    <t>0481LG</t>
  </si>
  <si>
    <t>T-Tomatoes, Diced, 4/5#</t>
  </si>
  <si>
    <t>T-Tomatoes, Grape 50/2oz</t>
  </si>
  <si>
    <t>T-Tomatoes, Grape 50/4oz</t>
  </si>
  <si>
    <t>T-Tomatoes, Grape w/Ranch 50/2oz</t>
  </si>
  <si>
    <t>T-Tomatoes, Grape w/Tajin 50/2oz</t>
  </si>
  <si>
    <t>T-Tomatoes, Sliced 2/5#</t>
  </si>
  <si>
    <t>T-Tropical Blend 50/2.7oz</t>
  </si>
  <si>
    <t>T-Tropical Mango Salsa 2/1gal</t>
  </si>
  <si>
    <t>T-Turnip Greens, Chopped 8/1#</t>
  </si>
  <si>
    <t>T-Turnip Sticks 50/2oz</t>
  </si>
  <si>
    <t>T-Turnip Sticks w/Ranch 50/2oz</t>
  </si>
  <si>
    <t>T-Turnip, Diced 2/5#</t>
  </si>
  <si>
    <t>T-Turnip, Sliced 2/5#</t>
  </si>
  <si>
    <t>T-Turnips, Diced 4/5#</t>
  </si>
  <si>
    <t>U-Ugly Fruit 50/3.5oz</t>
  </si>
  <si>
    <t>V-Vegetable Fajita Mix 2/5#</t>
  </si>
  <si>
    <t>V-Vegetable Roasted Medley 8#</t>
  </si>
  <si>
    <t>W-Watermelon 50/2oz</t>
  </si>
  <si>
    <t>W-Watermelon Chunks 5#</t>
  </si>
  <si>
    <t>W-Watermelon w/Tajin 50/2oz</t>
  </si>
  <si>
    <t xml:space="preserve">CODE </t>
  </si>
  <si>
    <t xml:space="preserve">ITEM </t>
  </si>
  <si>
    <t xml:space="preserve">35% MARK UP </t>
  </si>
  <si>
    <t xml:space="preserve">40% MARK UP </t>
  </si>
  <si>
    <t>BUTTERNUT STICKS 50/2OZ</t>
  </si>
  <si>
    <t>DAIKON COIIN CUT 50/2OZ</t>
  </si>
  <si>
    <t>GRAPES, WHITE  (5# CASE)</t>
  </si>
  <si>
    <t>GRAPE FRUIT 5#</t>
  </si>
  <si>
    <t>RADISH SLICED (10# CASE)</t>
  </si>
  <si>
    <t>RADISH, SHREDDED (10# CASE)</t>
  </si>
  <si>
    <t>Okra</t>
  </si>
  <si>
    <t xml:space="preserve">Peppers, Sun Tan </t>
  </si>
  <si>
    <t xml:space="preserve">Golden Kiwi </t>
  </si>
  <si>
    <t xml:space="preserve">Tomatoes, Green </t>
  </si>
  <si>
    <t>Mini Pumpkins</t>
  </si>
  <si>
    <t xml:space="preserve">Mustard Green </t>
  </si>
  <si>
    <t>Apples Red Mike's</t>
  </si>
  <si>
    <t>Apples Green Randy's</t>
  </si>
  <si>
    <t>Cauliflower Tri Color</t>
  </si>
  <si>
    <t>Mini Sweet Pepper</t>
  </si>
  <si>
    <t>Grape Tomato Multicolor</t>
  </si>
  <si>
    <t xml:space="preserve">Daikon Root </t>
  </si>
  <si>
    <t xml:space="preserve">Grape Fruit </t>
  </si>
  <si>
    <t>Celery Root</t>
  </si>
  <si>
    <t xml:space="preserve">Turnip Green </t>
  </si>
  <si>
    <t>Radish, 14/1</t>
  </si>
  <si>
    <t xml:space="preserve">Potatoes, Idaho </t>
  </si>
  <si>
    <t>Pink Pineapples</t>
  </si>
  <si>
    <t>Onions, Sweet</t>
  </si>
  <si>
    <t>CELERY, SLICED  (2X5# CASE)</t>
  </si>
  <si>
    <t>CELERY, ROOT DICED  (2X5# CASE)</t>
  </si>
  <si>
    <t>CAULIFLOWER FLORET  (50 X 4oz)</t>
  </si>
  <si>
    <t>CELERY STICKS  (50 X 4oz)</t>
  </si>
  <si>
    <t>C-Cauliflower 50/4oz</t>
  </si>
  <si>
    <t>CUCUMBER, COINS (50 X 4oz)</t>
  </si>
  <si>
    <t>KIWI, GOLDEN WEDGED SNAKPAK (50 X 2oz)</t>
  </si>
  <si>
    <t>ONIONS, SWEET DICED (20# CASE)</t>
  </si>
  <si>
    <t>PEPPER, SUNTAN, DICED, (10# CASE)</t>
  </si>
  <si>
    <t>PINEAPPLE PINK (50 X 2.3oz)</t>
  </si>
  <si>
    <t>ONIONS, RED SHALLOTS (10# CASE)</t>
  </si>
  <si>
    <t>SHALLOTS</t>
  </si>
  <si>
    <t>ORANGE PEELED &amp; SECTIONED , (5# TRAY)</t>
  </si>
  <si>
    <t>SQUASH, CHAYOTE, (2 X 5# CASE)</t>
  </si>
  <si>
    <t>TANGERINES PEELED &amp; SECTIONED , (5# TRAY)</t>
  </si>
  <si>
    <t>TOMATOES, GREEN DICED (10# CASE)</t>
  </si>
  <si>
    <t>TURNIP, DICED, (10# CASE)</t>
  </si>
  <si>
    <t>TOMATOES, DICED (20# CASE)</t>
  </si>
  <si>
    <t>PARSNIP, COIN CUT, (2 X 5# CASE)</t>
  </si>
  <si>
    <t>45% Rounded</t>
  </si>
  <si>
    <t>WATERMELON RADISH STICKS (50 X 2oz)</t>
  </si>
  <si>
    <t>Watermelon Radish 20#</t>
  </si>
  <si>
    <t>$10.20 cost per 50ct case</t>
  </si>
  <si>
    <t>LEMONS WEDGES 50/2.3OZ</t>
  </si>
  <si>
    <t>LW50</t>
  </si>
  <si>
    <t>NO</t>
  </si>
  <si>
    <t>ASPARAGUS / LEMON WEDGES 50/2.3OZ</t>
  </si>
  <si>
    <t>APPLE / PEAR (100/2oz)</t>
  </si>
  <si>
    <t>4/2# MCENTIRE</t>
  </si>
  <si>
    <t>2/4 SMALL COLLARD</t>
  </si>
  <si>
    <t>APPLE RED CUP (4# CASE)</t>
  </si>
  <si>
    <t>APPLE GREEN CUPS (4#CS)</t>
  </si>
  <si>
    <t>BLUEBERRIES CUPS  (4# CASE)</t>
  </si>
  <si>
    <t>CANTALOUPE CUPS (4# CASE)</t>
  </si>
  <si>
    <t>RED GRAPES CUPS (4# CASE)</t>
  </si>
  <si>
    <t>WHITE GRAPES CUPS (4# CASE)</t>
  </si>
  <si>
    <t>HONEYDEW CUPS (4# CASE)</t>
  </si>
  <si>
    <t>KIWI CUPS (4# CASE)</t>
  </si>
  <si>
    <t>MANGO CUPS (4# CASE)</t>
  </si>
  <si>
    <t>ORANGES CUPS (4# CASE)</t>
  </si>
  <si>
    <t>PEARS CUPS (4# CASE)</t>
  </si>
  <si>
    <t>PINEAPPLES CUPS (4# CASE)</t>
  </si>
  <si>
    <t>STRAWBERIES CUPS (4# CASE)</t>
  </si>
  <si>
    <t>WATERMELON CUPS (4# CASE)</t>
  </si>
  <si>
    <t>FRUIT MIX (4# CASE)</t>
  </si>
  <si>
    <t>FRUIT CUPS 8/8OZ</t>
  </si>
  <si>
    <t>FRUIT CUPS 8/12OZ</t>
  </si>
  <si>
    <t>APPLE RED CUP (6# CASE)</t>
  </si>
  <si>
    <t>APPLE GREEN CUPS (6#CS)</t>
  </si>
  <si>
    <t>BLUEBERRIES CUPS  (6# CASE)</t>
  </si>
  <si>
    <t>CANTALOUPE CUPS (6# CASE)</t>
  </si>
  <si>
    <t>RED GRAPES CUPS (6# CASE)</t>
  </si>
  <si>
    <t>WHITE GRAPES CUPS (6# CASE)</t>
  </si>
  <si>
    <t>HONEYDEW CUPS (6# CASE)</t>
  </si>
  <si>
    <t>KIWI CUPS (6# CASE)</t>
  </si>
  <si>
    <t>MANGO CUPS (6# CASE)</t>
  </si>
  <si>
    <t>ORANGES CUPS (6# CASE)</t>
  </si>
  <si>
    <t>PEARS CUPS (6# CASE)</t>
  </si>
  <si>
    <t>PINEAPPLES CUPS (6# CASE)</t>
  </si>
  <si>
    <t>STRAWBERIES CUPS (6# CASE)</t>
  </si>
  <si>
    <t>WATERMELON CUPS (6# CASE)</t>
  </si>
  <si>
    <t>FRUIT MIX (6# CASE)</t>
  </si>
  <si>
    <t xml:space="preserve">FRUIT CUPS 8/12OZ </t>
  </si>
  <si>
    <t>TROPICAL MIX (4#CASE)</t>
  </si>
  <si>
    <t>TMS</t>
  </si>
  <si>
    <t>(PAPAYA, MANGO, PINEAPPLES)</t>
  </si>
  <si>
    <t>Tropical Mix</t>
  </si>
  <si>
    <t>GPLW</t>
  </si>
  <si>
    <t>KI</t>
  </si>
  <si>
    <t>TROPICAL MIX (6#CASE)</t>
  </si>
  <si>
    <t xml:space="preserve">TROPICAL MIX </t>
  </si>
  <si>
    <t>TROPICAL MIX</t>
  </si>
  <si>
    <t>FRUIT CUPS 8/6OZ</t>
  </si>
  <si>
    <t>APPLE RED CUP (3# CASE)</t>
  </si>
  <si>
    <t>APPLE GREEN CUPS (3#CS)</t>
  </si>
  <si>
    <t>BLUEBERRIES CUPS  (3# CASE)</t>
  </si>
  <si>
    <t>CANTALOUPE CUPS (3# CASE)</t>
  </si>
  <si>
    <t>RED GRAPES CUPS (3# CASE)</t>
  </si>
  <si>
    <t>WHITE GRAPES CUPS (3# CASE)</t>
  </si>
  <si>
    <t>HONEYDEW CUPS (3# CASE)</t>
  </si>
  <si>
    <t>KIWI CUPS (3# CASE)</t>
  </si>
  <si>
    <t>MANGO CUPS (3# CASE)</t>
  </si>
  <si>
    <t>ORANGES CUPS (3# CASE)</t>
  </si>
  <si>
    <t>PEARS CUPS (3# CASE)</t>
  </si>
  <si>
    <t>PINEAPPLES CUPS (3# CASE)</t>
  </si>
  <si>
    <t>STRAWBERIES CUPS (3# CASE)</t>
  </si>
  <si>
    <t>WATERMELON CUPS (3# CASE)</t>
  </si>
  <si>
    <t>FRUIT MIX (3# CASE)</t>
  </si>
  <si>
    <t>TROPICAL MIX (3#CASE)</t>
  </si>
  <si>
    <t>TRI COLOR CAULIFLOWER 50/2</t>
  </si>
  <si>
    <t>CF50MW</t>
  </si>
  <si>
    <t>STRAWBERRIES / MANGO</t>
  </si>
  <si>
    <t>Peeled Garlic</t>
  </si>
  <si>
    <t xml:space="preserve">Red &amp; Yellow Pepper Mix </t>
  </si>
  <si>
    <t xml:space="preserve">Lemon &amp; Limes </t>
  </si>
  <si>
    <t xml:space="preserve">Limes 140ct </t>
  </si>
  <si>
    <t>LEMON &amp; LIMES WEDGES  (50x2oz)</t>
  </si>
  <si>
    <t>LLM</t>
  </si>
  <si>
    <t xml:space="preserve">Mango &amp; Blueberries </t>
  </si>
  <si>
    <t>MANGO &amp; BLUEBERRIES (50x2oz)</t>
  </si>
  <si>
    <t xml:space="preserve">Cantaloupe &amp; Lime </t>
  </si>
  <si>
    <t>CANTALOUPE &amp; LIMES (50 X 2.7oz)</t>
  </si>
  <si>
    <t xml:space="preserve">Kiwi &amp; Grapes </t>
  </si>
  <si>
    <t>KIWi &amp; GRAPES (50 X 2.3oz)</t>
  </si>
  <si>
    <t>PARTY TRAY</t>
  </si>
  <si>
    <t xml:space="preserve">Vegetable Mix </t>
  </si>
  <si>
    <t>VEGGIE TRAY (5# CASE)</t>
  </si>
  <si>
    <t>RICE 50/6OZ</t>
  </si>
  <si>
    <t>RI</t>
  </si>
  <si>
    <t>Dry Rice</t>
  </si>
  <si>
    <t>Dry Beans</t>
  </si>
  <si>
    <t xml:space="preserve">Vegetable Slaw </t>
  </si>
  <si>
    <t>BlackBerries</t>
  </si>
  <si>
    <t xml:space="preserve">Strawberries, Blueberries &amp; Pineapples </t>
  </si>
  <si>
    <t>STRAWBERRIES, BLUEBERRIES &amp; PINEAPPLES (50 X 2.3oz)</t>
  </si>
  <si>
    <t xml:space="preserve">Cauliflower, Broccoli &amp; Celery </t>
  </si>
  <si>
    <t>CAULIFLOWER, BROCCOLI &amp; CELERY  (50 X 2oz)</t>
  </si>
  <si>
    <t>FRUIT MIX, (50 X 2.7oz)</t>
  </si>
  <si>
    <t xml:space="preserve">Mango, Pineapples &amp; Grapes </t>
  </si>
  <si>
    <t>MANGO &amp; PINEAPPLE &amp; GRAPES  (50x2.3oz)</t>
  </si>
  <si>
    <t xml:space="preserve">Jicama, Daikon &amp; Radish </t>
  </si>
  <si>
    <t>JICAMA, DAIKON, RADISH STICKS (50 X 2oz)</t>
  </si>
  <si>
    <t xml:space="preserve">Parsnip &amp; Turnip </t>
  </si>
  <si>
    <t>PARSNIP &amp; TURNIPS (50/2OZ</t>
  </si>
  <si>
    <t xml:space="preserve">Poblano </t>
  </si>
  <si>
    <t>PEPPER, POBLANO JUL (10# CASE)</t>
  </si>
  <si>
    <t>ASPARAGUS &amp; LEMON WEDGES  (50 X 2oz)</t>
  </si>
  <si>
    <t xml:space="preserve">Asparagus &amp; Lemons </t>
  </si>
  <si>
    <t>Green &amp; Red Peppers</t>
  </si>
  <si>
    <t xml:space="preserve">Oranges, Blood 88ct </t>
  </si>
  <si>
    <t xml:space="preserve">Apple &amp; Pear Mix </t>
  </si>
  <si>
    <t xml:space="preserve">Apple &amp; Celery Mix </t>
  </si>
  <si>
    <t xml:space="preserve">Apple &amp; Baby Carrots Mix </t>
  </si>
  <si>
    <t xml:space="preserve">Apple &amp; Turnips Mix </t>
  </si>
  <si>
    <t xml:space="preserve">Broccoli &amp; Cauliflower Mix </t>
  </si>
  <si>
    <t xml:space="preserve">Broccoli &amp; Grape Tomato Mix </t>
  </si>
  <si>
    <t xml:space="preserve">Broccoli &amp; Sugar Snaps Mix </t>
  </si>
  <si>
    <t xml:space="preserve">Cantaloupe &amp; Grape Mix </t>
  </si>
  <si>
    <t xml:space="preserve">Cantaloupe &amp; Honeydew Mix </t>
  </si>
  <si>
    <t xml:space="preserve">Cantaloupe &amp; Pineapples Mix </t>
  </si>
  <si>
    <t xml:space="preserve">Carrots &amp; Broccoli Mix </t>
  </si>
  <si>
    <t xml:space="preserve">Carrots &amp; Celery Mix </t>
  </si>
  <si>
    <t xml:space="preserve">Carrots &amp; Grape Tomato Mix </t>
  </si>
  <si>
    <t xml:space="preserve">Carrots &amp; Pears Mix </t>
  </si>
  <si>
    <t xml:space="preserve">Carrots &amp; Sugar Snaps Mix </t>
  </si>
  <si>
    <t xml:space="preserve">Cauliflower &amp; Grape Tomato Mix </t>
  </si>
  <si>
    <t xml:space="preserve">Celery &amp; Grape Tomato Mix </t>
  </si>
  <si>
    <t xml:space="preserve">Celery &amp; Pears Mix </t>
  </si>
  <si>
    <t xml:space="preserve">Celery &amp; Grapes Mix </t>
  </si>
  <si>
    <t xml:space="preserve">Cucumbes &amp; Pineapples Mix </t>
  </si>
  <si>
    <t xml:space="preserve">Grapes &amp; Pineapples Mix </t>
  </si>
  <si>
    <t xml:space="preserve">Grapes &amp; Grape Tomato Mix </t>
  </si>
  <si>
    <t xml:space="preserve">Grape Tomato &amp; Mango Mix </t>
  </si>
  <si>
    <t xml:space="preserve">Honeydew &amp; Grapes Mix </t>
  </si>
  <si>
    <t xml:space="preserve">Honeydew &amp; Pineapple Mix </t>
  </si>
  <si>
    <t xml:space="preserve">Jicama &amp; Grapes Mix </t>
  </si>
  <si>
    <t xml:space="preserve">Jicama &amp; Mango Mix </t>
  </si>
  <si>
    <t xml:space="preserve">Jicama &amp; Pineapples Mix </t>
  </si>
  <si>
    <t xml:space="preserve">Pears &amp; Grapes Mix </t>
  </si>
  <si>
    <t xml:space="preserve">Sugar Snaps &amp; Pepper Sticks Mix </t>
  </si>
  <si>
    <t xml:space="preserve">Strawberries &amp; Blueberries Mix </t>
  </si>
  <si>
    <t xml:space="preserve">Apple &amp; Grapes Mix </t>
  </si>
  <si>
    <t xml:space="preserve">Strawberries &amp; Grapes </t>
  </si>
  <si>
    <t xml:space="preserve">Strawberries &amp; Mango Mix </t>
  </si>
  <si>
    <t>APPLE, PEARS MIX (50 X 2oz)</t>
  </si>
  <si>
    <t>APPLE, GRAPES MIX (50/2.3oz)</t>
  </si>
  <si>
    <t>APPLE, CELERY MIX (50 X 2oz)</t>
  </si>
  <si>
    <t>APPLE, CARROTS MIX (50 X 2oz)</t>
  </si>
  <si>
    <t>APPLE, TURNIPS MIX (50 X 2oz)</t>
  </si>
  <si>
    <t xml:space="preserve">BROCCOLI &amp; GRAPE TOMATO MIX  (50 X 2oz) </t>
  </si>
  <si>
    <t xml:space="preserve">BROCCOLI &amp; CAULIFLOWER MIX (50 X 2oz) </t>
  </si>
  <si>
    <t xml:space="preserve">BROCCOLI &amp; SUGAR SNAPS  (50 X 2oz) </t>
  </si>
  <si>
    <t>BLACKBERRIES  (50 X 2oz)</t>
  </si>
  <si>
    <t>CANTALOUPE &amp; GRAPES (50 X 2.7oz)</t>
  </si>
  <si>
    <t>CANTALOUPE &amp; HONEYDEW (50 X 2.7oz)</t>
  </si>
  <si>
    <t>CANTALOUPE &amp; PINEAPPLES (50 X 2.7oz)</t>
  </si>
  <si>
    <t>CARROTS, BROCCOLI MIX (50 X 2oz)</t>
  </si>
  <si>
    <t>CARROTS, CELERY MIX (50 X 2oz)</t>
  </si>
  <si>
    <t>CARROTS, GRAPE TOMATO MIX (50 X 2oz)</t>
  </si>
  <si>
    <t>CARROTS, PEARS MIX (50 X 2oz)</t>
  </si>
  <si>
    <t>CARROTS, SUGAR SNAPS (50 X 2oz)</t>
  </si>
  <si>
    <t>CAULIFLOWER &amp; GRAPE TOMATO MIX  (50 X 2oz)</t>
  </si>
  <si>
    <t>CELERY &amp; GRAPE TOMATO MIX (50 X 2oz)</t>
  </si>
  <si>
    <t>CELERY &amp; GRAPES MIX  (50 X 2.3oz)</t>
  </si>
  <si>
    <t>CUCUMBER &amp; PIINEAPPLES MIX (50 X 2oz)</t>
  </si>
  <si>
    <t>GRAPES &amp; GRAPE TOMATO MIX  (50 X 2.3oz)</t>
  </si>
  <si>
    <t>GRAPES &amp; PINEAPPLES MIX (50 X 2.3oz)</t>
  </si>
  <si>
    <t>HONEYDEW &amp; GRAPES MIX (50 X 2.3oz)</t>
  </si>
  <si>
    <t>HONEYDEW &amp; PINEAPPLES MIX (50 X 2.7oz)</t>
  </si>
  <si>
    <t>JICAMA &amp; GRAPES  (50 X 2.3oz)</t>
  </si>
  <si>
    <t>JICAMA &amp; MANGO (50 X 2oz)</t>
  </si>
  <si>
    <t>JICAMA &amp; PINEAPPLES MIX (50 X 2.7oz)</t>
  </si>
  <si>
    <t>PEARS &amp; GRAPES (50 X 2.3oz)</t>
  </si>
  <si>
    <t>SUGAR SNAPS &amp; PEPPER STICKS  (50 X 2oz)</t>
  </si>
  <si>
    <t>STRAWBERRIES &amp; BLUEBERRIES  (50 X 2.3oz)</t>
  </si>
  <si>
    <t>STRAWBERRIES &amp; GRAPES  (50 X 2.3oz)</t>
  </si>
  <si>
    <t>STRAWBERRIES &amp; MANGO  (50 X 2oz)</t>
  </si>
  <si>
    <t>APPLE, CARROTS MIX W/RANCH (50 X 2oz)</t>
  </si>
  <si>
    <t>APPLE, CELERY MIX W/RANCH (50 X 2oz)</t>
  </si>
  <si>
    <t>APPLE, TURNIPS MIX W/RANCH  (50 X 2oz)</t>
  </si>
  <si>
    <t>ASPARAGUS &amp; LEMON WEDGES W/RANCH (50 X 2oz)</t>
  </si>
  <si>
    <t>BABY CARROTS (50/2oz) W/RANCH</t>
  </si>
  <si>
    <t>ASPARAGUS STICKS W/RANCH (50 X 2oz)</t>
  </si>
  <si>
    <t>BROCCOLI FLORET  (50 X 2oz) W/RANCH</t>
  </si>
  <si>
    <t xml:space="preserve">BROCCOLI &amp; CAULIFLOWER MIX W/RANCH (50 X 2oz) </t>
  </si>
  <si>
    <t xml:space="preserve">BROCCOLI &amp; GRAPE TOMATO MIX  W/RANCH (50 X 2oz) </t>
  </si>
  <si>
    <t xml:space="preserve">BROCCOLI &amp; SUGAR SNAPS W/RANCH  (50 X 2oz) </t>
  </si>
  <si>
    <t>CARROT, STICKS SNAKPAK W/RANCH(50X2oz)</t>
  </si>
  <si>
    <t>CARROTS, BROCCOLI MIX W/RANCH(50 X 2oz)</t>
  </si>
  <si>
    <t>CARROTS, CELERY MIX W/RANCH (50 X 2oz)</t>
  </si>
  <si>
    <t>CARROTS, GRAPE TOMATO MIX W/RANCH (50 X 2oz)</t>
  </si>
  <si>
    <t>YES</t>
  </si>
  <si>
    <t>CARROTS, PEARS MIX W/RANCH (50 X 2oz)</t>
  </si>
  <si>
    <t>CARROTS, SUGAR SNAPS W/RANCH  (50 X 2oz)</t>
  </si>
  <si>
    <t>CAULIFLOWER FLORET W/RANCH (50 X 2oz)</t>
  </si>
  <si>
    <t>CAULIFLOWER, BROCCOLI &amp; CELERY W/RANCH  (50 X 2oz)</t>
  </si>
  <si>
    <t>CAULIFLOWER &amp; GRAPE TOMATO MIX W/RANCH (50 X 2oz)</t>
  </si>
  <si>
    <t>CELERY &amp; GRAPE TOMATO MIX W/RANCH (50 X 2oz)</t>
  </si>
  <si>
    <t>CELERY &amp; GRAPES MIX W/RANCH (50 X 2.3oz)</t>
  </si>
  <si>
    <t>CUCUMBER &amp; PIINEAPPLES MIX W/RANCH (50 X 2oz)</t>
  </si>
  <si>
    <t>GRAPES &amp; GRAPE TOMATO MIX W/RANCH (50 X 2.3oz)</t>
  </si>
  <si>
    <t>GREEN BEANS W/RANCH (50 X 2oz)</t>
  </si>
  <si>
    <t>PARSNIP, STICKS (50 X 2oz)</t>
  </si>
  <si>
    <t>SQUASH, HALFMOON (50 X 2oz)</t>
  </si>
  <si>
    <t>BROCCOLI FLORETS (4# CASE)</t>
  </si>
  <si>
    <t>CELERY STICKS (4# CASE)</t>
  </si>
  <si>
    <t>CARROT STICKS (4# CASE)</t>
  </si>
  <si>
    <t>CAULIFLOWER FLORETS (4# CASE)</t>
  </si>
  <si>
    <t>8CT FRUIT CUPS</t>
  </si>
  <si>
    <t xml:space="preserve">FRUIT CUPS 8/6OZ </t>
  </si>
  <si>
    <t>TRI COLOR CAULIFLOWER W/RANCH 50/2</t>
  </si>
  <si>
    <t>HEIRLOOM GRAPE TOMATO  W/RANCH 50/2OZ</t>
  </si>
  <si>
    <t>HEIRLOOM GRAPE TOMATO 50/2OZ</t>
  </si>
  <si>
    <t>MINI SWEET PEPPER  W/RANCH 50/2OZ</t>
  </si>
  <si>
    <t>MINI SWEET PEPPER50/2OZ</t>
  </si>
  <si>
    <t xml:space="preserve">DAIKON COIIN CUT 50/2OZ  W/RANCH </t>
  </si>
  <si>
    <t xml:space="preserve">BUTTERNUT STICKS 50/2OZ  W/RANCH </t>
  </si>
  <si>
    <t>WATERMELON RADISH STICKS  W/RANCH (50 X 2oz)</t>
  </si>
  <si>
    <t>GRAPEFRUIT, PEELED &amp; SECTIONED (5# TRAY)</t>
  </si>
  <si>
    <t>PARSNIP, STICKS W/RANCH(50 X 2oz)</t>
  </si>
  <si>
    <t>PARSNIP &amp; TURNIPS W/RANCH (50/2OZ</t>
  </si>
  <si>
    <t>PEPPER STICK, RED, YELLOW W/ RANCH  (50 X 2oz)</t>
  </si>
  <si>
    <t>PEPPER STICKS, SNAKPAK W/ RANCH (50 X 2oz)</t>
  </si>
  <si>
    <t>JICAMA, DAIKON, RADISH STICKS W/ RANCH (50 X 2oz)</t>
  </si>
  <si>
    <t>JICAMA &amp; PINEAPPLES MIX W/RANCH (50 X 2.7oz)</t>
  </si>
  <si>
    <t>JICAMA &amp; MANGO W/ RANCH (50 X 2oz)</t>
  </si>
  <si>
    <t>JICAMA &amp; GRAPES  W/ RANCH (50 X 2.3oz)</t>
  </si>
  <si>
    <t>SUGAR SNAPS &amp; PEPPER STICKS  W/ RANCH (50 X 2oz)</t>
  </si>
  <si>
    <t>GW10</t>
  </si>
  <si>
    <t>APPLE, RED WEDGES (10X1#CASE)</t>
  </si>
  <si>
    <t xml:space="preserve">10X1LBS BAG </t>
  </si>
  <si>
    <t>APPLE, GREEN WEDGES (10X1# CASE)</t>
  </si>
  <si>
    <t>CARROTS, COINS (2X5# CASE)</t>
  </si>
  <si>
    <t>CABBAGE, DICED ZESTOS (20# CASE)</t>
  </si>
  <si>
    <t>CORN, SHUCKED &amp; CUT (1 BUSH)</t>
  </si>
  <si>
    <t>FRUIT, MIXED (5# CASE)</t>
  </si>
  <si>
    <t>FRUIT, TRAY (5# CASE)</t>
  </si>
  <si>
    <t>GRW10</t>
  </si>
  <si>
    <t>BETD</t>
  </si>
  <si>
    <t>BRUSSEL SPROUTS, SHREDDED (4X5# CASE)</t>
  </si>
  <si>
    <t>BRUSSELS SPROUT, TRIMMED &amp; HALVED (4X5# CASE)</t>
  </si>
  <si>
    <t>MINI SWEET PEPPER 50/2OZ</t>
  </si>
  <si>
    <t>MINI SWEET PEPPER W/RANCH 50/2OZ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</si>
</sst>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0000"/>
    <numFmt numFmtId="166" formatCode="00000"/>
  </numFmts>
  <fonts count="1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 Light"/>
      <family val="2"/>
      <scheme val="major"/>
    </font>
    <font>
      <sz val="16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6"/>
      <name val="Calibri Light"/>
      <family val="2"/>
      <scheme val="major"/>
    </font>
    <font>
      <sz val="16"/>
      <color rgb="FF000000"/>
      <name val="Calibri Light"/>
      <family val="2"/>
      <scheme val="major"/>
    </font>
    <font>
      <sz val="16"/>
      <name val="Calibri Light"/>
      <family val="2"/>
      <scheme val="major"/>
    </font>
    <font>
      <sz val="16"/>
      <color rgb="FF000000"/>
      <name val="Calibri Light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E7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04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4" fontId="0" fillId="2" borderId="1" xfId="1" applyFont="1" applyFill="1" applyBorder="1" applyAlignment="1">
      <alignment horizontal="center"/>
    </xf>
    <xf numFmtId="44" fontId="0" fillId="3" borderId="1" xfId="1" applyFont="1" applyFill="1" applyBorder="1"/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left"/>
    </xf>
    <xf numFmtId="164" fontId="5" fillId="5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44" fontId="0" fillId="2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2" borderId="0" xfId="0" applyNumberFormat="1" applyFill="1" applyAlignment="1">
      <alignment horizontal="center"/>
    </xf>
    <xf numFmtId="164" fontId="0" fillId="0" borderId="0" xfId="0" applyNumberFormat="1"/>
    <xf numFmtId="14" fontId="0" fillId="0" borderId="0" xfId="0" applyNumberFormat="1"/>
    <xf numFmtId="8" fontId="0" fillId="0" borderId="0" xfId="0" applyNumberFormat="1"/>
    <xf numFmtId="0" fontId="1" fillId="0" borderId="1" xfId="2" applyFont="1" applyBorder="1" applyAlignment="1">
      <alignment horizontal="left" vertical="center"/>
    </xf>
    <xf numFmtId="0" fontId="1" fillId="2" borderId="1" xfId="2" applyFont="1" applyFill="1" applyBorder="1" applyAlignment="1">
      <alignment horizontal="left" vertical="center"/>
    </xf>
    <xf numFmtId="0" fontId="1" fillId="0" borderId="1" xfId="2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44" fontId="0" fillId="0" borderId="1" xfId="0" applyNumberFormat="1" applyBorder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164" fontId="6" fillId="0" borderId="0" xfId="0" applyNumberFormat="1" applyFont="1" applyAlignment="1">
      <alignment vertical="center" wrapText="1"/>
    </xf>
    <xf numFmtId="2" fontId="6" fillId="0" borderId="0" xfId="0" applyNumberFormat="1" applyFont="1" applyAlignment="1">
      <alignment horizontal="center" vertical="center" wrapText="1"/>
    </xf>
    <xf numFmtId="9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44" fontId="1" fillId="3" borderId="1" xfId="1" applyFont="1" applyFill="1" applyBorder="1" applyAlignment="1">
      <alignment vertical="center"/>
    </xf>
    <xf numFmtId="44" fontId="1" fillId="3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4" fillId="0" borderId="1" xfId="2" applyFont="1" applyBorder="1" applyAlignment="1">
      <alignment horizontal="left" vertical="center"/>
    </xf>
    <xf numFmtId="164" fontId="0" fillId="0" borderId="1" xfId="0" applyNumberFormat="1" applyBorder="1" applyAlignment="1">
      <alignment vertical="center"/>
    </xf>
    <xf numFmtId="44" fontId="0" fillId="3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vertical="center"/>
    </xf>
    <xf numFmtId="44" fontId="0" fillId="2" borderId="1" xfId="0" applyNumberForma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44" fontId="4" fillId="0" borderId="1" xfId="2" applyNumberFormat="1" applyFont="1" applyBorder="1" applyAlignment="1">
      <alignment horizontal="left" vertical="center"/>
    </xf>
    <xf numFmtId="44" fontId="1" fillId="0" borderId="1" xfId="2" applyNumberFormat="1" applyFont="1" applyBorder="1" applyAlignment="1">
      <alignment horizontal="left" vertical="center"/>
    </xf>
    <xf numFmtId="164" fontId="0" fillId="0" borderId="0" xfId="0" applyNumberFormat="1" applyAlignment="1">
      <alignment vertical="center"/>
    </xf>
    <xf numFmtId="0" fontId="0" fillId="2" borderId="1" xfId="0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44" fontId="1" fillId="3" borderId="0" xfId="0" applyNumberFormat="1" applyFont="1" applyFill="1" applyAlignment="1">
      <alignment horizontal="center" vertical="center"/>
    </xf>
    <xf numFmtId="44" fontId="0" fillId="0" borderId="1" xfId="0" applyNumberFormat="1" applyBorder="1"/>
    <xf numFmtId="164" fontId="9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165" fontId="11" fillId="0" borderId="1" xfId="0" applyNumberFormat="1" applyFont="1" applyBorder="1" applyAlignment="1">
      <alignment horizontal="left" vertical="center" shrinkToFit="1"/>
    </xf>
    <xf numFmtId="0" fontId="12" fillId="0" borderId="1" xfId="0" applyFont="1" applyBorder="1" applyAlignment="1">
      <alignment horizontal="left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9" fontId="9" fillId="0" borderId="0" xfId="0" applyNumberFormat="1" applyFont="1" applyAlignment="1">
      <alignment horizontal="left" vertical="center"/>
    </xf>
    <xf numFmtId="1" fontId="11" fillId="0" borderId="1" xfId="0" applyNumberFormat="1" applyFont="1" applyBorder="1" applyAlignment="1">
      <alignment horizontal="left" vertical="center" shrinkToFit="1"/>
    </xf>
    <xf numFmtId="164" fontId="10" fillId="0" borderId="0" xfId="0" applyNumberFormat="1" applyFont="1" applyAlignment="1">
      <alignment horizontal="center" vertical="center"/>
    </xf>
    <xf numFmtId="0" fontId="0" fillId="2" borderId="0" xfId="0" applyFill="1"/>
    <xf numFmtId="4" fontId="0" fillId="0" borderId="1" xfId="0" applyNumberFormat="1" applyBorder="1"/>
    <xf numFmtId="4" fontId="0" fillId="0" borderId="1" xfId="0" applyNumberFormat="1" applyBorder="1" applyAlignment="1">
      <alignment horizontal="center"/>
    </xf>
    <xf numFmtId="44" fontId="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left" vertical="center" shrinkToFit="1"/>
    </xf>
    <xf numFmtId="0" fontId="14" fillId="0" borderId="1" xfId="0" applyFont="1" applyBorder="1" applyAlignment="1">
      <alignment horizontal="left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left" vertical="center" shrinkToFit="1"/>
    </xf>
    <xf numFmtId="10" fontId="10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166" fontId="13" fillId="0" borderId="1" xfId="0" applyNumberFormat="1" applyFont="1" applyBorder="1" applyAlignment="1">
      <alignment horizontal="left" vertical="center" shrinkToFit="1"/>
    </xf>
    <xf numFmtId="1" fontId="13" fillId="6" borderId="1" xfId="0" applyNumberFormat="1" applyFont="1" applyFill="1" applyBorder="1" applyAlignment="1">
      <alignment horizontal="left" vertical="center" shrinkToFit="1"/>
    </xf>
    <xf numFmtId="10" fontId="10" fillId="0" borderId="0" xfId="0" applyNumberFormat="1" applyFont="1" applyAlignment="1">
      <alignment horizontal="center" vertical="center"/>
    </xf>
    <xf numFmtId="164" fontId="15" fillId="0" borderId="1" xfId="0" applyNumberFormat="1" applyFont="1" applyBorder="1" applyAlignment="1">
      <alignment horizontal="center" vertical="center" wrapText="1"/>
    </xf>
    <xf numFmtId="0" fontId="16" fillId="0" borderId="0" xfId="0" applyFont="1"/>
    <xf numFmtId="0" fontId="16" fillId="0" borderId="1" xfId="2" applyFont="1" applyBorder="1" applyAlignment="1">
      <alignment horizontal="left" vertical="center"/>
    </xf>
    <xf numFmtId="0" fontId="16" fillId="0" borderId="1" xfId="2" applyFont="1" applyFill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164" fontId="16" fillId="0" borderId="1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164" fontId="10" fillId="7" borderId="1" xfId="0" applyNumberFormat="1" applyFont="1" applyFill="1" applyBorder="1" applyAlignment="1">
      <alignment horizontal="center" vertical="center"/>
    </xf>
    <xf numFmtId="10" fontId="10" fillId="7" borderId="1" xfId="0" applyNumberFormat="1" applyFont="1" applyFill="1" applyBorder="1" applyAlignment="1">
      <alignment horizontal="center" vertical="center"/>
    </xf>
    <xf numFmtId="9" fontId="16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3">
    <cellStyle name="Currency" xfId="1" builtinId="4"/>
    <cellStyle name="Heading 4" xfId="2" builtinId="19"/>
    <cellStyle name="Normal" xfId="0" builtinId="0"/>
  </cellStyles>
  <dxfs count="1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EE7D"/>
      <color rgb="FFF3200A"/>
      <color rgb="FFFFEC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C9632-D9DB-9549-BEBC-6263667E8BE0}">
  <dimension ref="A1:N310"/>
  <sheetViews>
    <sheetView topLeftCell="A5" zoomScale="134" zoomScaleNormal="134" workbookViewId="0">
      <selection activeCell="C49" sqref="C49"/>
    </sheetView>
  </sheetViews>
  <sheetFormatPr baseColWidth="10" defaultColWidth="11.1640625" defaultRowHeight="16" x14ac:dyDescent="0.2"/>
  <cols>
    <col min="1" max="1" width="45.6640625" style="1" bestFit="1" customWidth="1"/>
    <col min="2" max="2" width="10.83203125" style="2"/>
  </cols>
  <sheetData>
    <row r="1" spans="1:14" x14ac:dyDescent="0.2">
      <c r="A1" s="10" t="s">
        <v>377</v>
      </c>
      <c r="B1" s="11" t="s">
        <v>378</v>
      </c>
      <c r="F1">
        <v>9.1999999999999993</v>
      </c>
    </row>
    <row r="2" spans="1:14" x14ac:dyDescent="0.2">
      <c r="A2" s="12" t="s">
        <v>0</v>
      </c>
      <c r="B2" s="13">
        <v>38</v>
      </c>
      <c r="C2" t="s">
        <v>553</v>
      </c>
      <c r="D2">
        <v>28</v>
      </c>
      <c r="H2" t="s">
        <v>470</v>
      </c>
    </row>
    <row r="3" spans="1:14" x14ac:dyDescent="0.2">
      <c r="A3" s="12" t="s">
        <v>1</v>
      </c>
      <c r="B3" s="13">
        <v>45</v>
      </c>
      <c r="C3" t="s">
        <v>453</v>
      </c>
      <c r="D3">
        <v>24</v>
      </c>
      <c r="F3">
        <v>3.5</v>
      </c>
      <c r="J3" s="17">
        <v>44287</v>
      </c>
      <c r="K3" s="17">
        <v>44910</v>
      </c>
      <c r="L3" s="17">
        <v>45092</v>
      </c>
      <c r="M3" s="17">
        <v>45200</v>
      </c>
      <c r="N3" s="17">
        <v>45762</v>
      </c>
    </row>
    <row r="4" spans="1:14" x14ac:dyDescent="0.2">
      <c r="A4" s="12" t="s">
        <v>457</v>
      </c>
      <c r="B4" s="13">
        <v>36</v>
      </c>
      <c r="K4" s="17"/>
    </row>
    <row r="5" spans="1:14" x14ac:dyDescent="0.2">
      <c r="A5" s="12" t="s">
        <v>458</v>
      </c>
      <c r="B5" s="13">
        <v>9</v>
      </c>
      <c r="K5" s="17"/>
    </row>
    <row r="6" spans="1:14" x14ac:dyDescent="0.2">
      <c r="A6" s="12" t="s">
        <v>2</v>
      </c>
      <c r="B6" s="13">
        <v>18</v>
      </c>
      <c r="H6" t="s">
        <v>471</v>
      </c>
      <c r="J6">
        <v>19.8</v>
      </c>
      <c r="K6" s="18">
        <v>20.67</v>
      </c>
      <c r="L6">
        <v>20.58</v>
      </c>
      <c r="M6" s="16">
        <v>18.399999999999999</v>
      </c>
      <c r="N6">
        <v>20.86</v>
      </c>
    </row>
    <row r="7" spans="1:14" x14ac:dyDescent="0.2">
      <c r="A7" s="12" t="s">
        <v>436</v>
      </c>
      <c r="B7" s="13">
        <v>35</v>
      </c>
    </row>
    <row r="8" spans="1:14" x14ac:dyDescent="0.2">
      <c r="A8" s="12" t="s">
        <v>573</v>
      </c>
      <c r="B8" s="13">
        <v>34</v>
      </c>
    </row>
    <row r="9" spans="1:14" x14ac:dyDescent="0.2">
      <c r="A9" s="12" t="s">
        <v>395</v>
      </c>
      <c r="B9" s="13">
        <v>36</v>
      </c>
      <c r="C9" t="s">
        <v>433</v>
      </c>
      <c r="H9" s="78" t="s">
        <v>1064</v>
      </c>
      <c r="I9" s="78"/>
    </row>
    <row r="10" spans="1:14" x14ac:dyDescent="0.2">
      <c r="A10" s="12" t="s">
        <v>396</v>
      </c>
      <c r="B10" s="13">
        <v>72</v>
      </c>
    </row>
    <row r="11" spans="1:14" x14ac:dyDescent="0.2">
      <c r="A11" s="12" t="s">
        <v>444</v>
      </c>
      <c r="B11" s="13">
        <v>43.79</v>
      </c>
    </row>
    <row r="12" spans="1:14" x14ac:dyDescent="0.2">
      <c r="A12" s="12" t="s">
        <v>3</v>
      </c>
      <c r="B12" s="13">
        <v>22</v>
      </c>
    </row>
    <row r="13" spans="1:14" x14ac:dyDescent="0.2">
      <c r="A13" s="12" t="s">
        <v>4</v>
      </c>
      <c r="B13" s="13">
        <v>22</v>
      </c>
    </row>
    <row r="14" spans="1:14" x14ac:dyDescent="0.2">
      <c r="A14" s="12" t="s">
        <v>5</v>
      </c>
      <c r="B14" s="13">
        <v>47</v>
      </c>
    </row>
    <row r="15" spans="1:14" x14ac:dyDescent="0.2">
      <c r="A15" s="12" t="s">
        <v>6</v>
      </c>
      <c r="B15" s="13">
        <v>36</v>
      </c>
    </row>
    <row r="16" spans="1:14" x14ac:dyDescent="0.2">
      <c r="A16" s="12" t="s">
        <v>7</v>
      </c>
      <c r="B16" s="13">
        <v>17</v>
      </c>
    </row>
    <row r="17" spans="1:2" x14ac:dyDescent="0.2">
      <c r="A17" s="12" t="s">
        <v>8</v>
      </c>
      <c r="B17" s="13">
        <v>25</v>
      </c>
    </row>
    <row r="18" spans="1:2" x14ac:dyDescent="0.2">
      <c r="A18" s="12" t="s">
        <v>9</v>
      </c>
      <c r="B18" s="13">
        <v>44</v>
      </c>
    </row>
    <row r="19" spans="1:2" x14ac:dyDescent="0.2">
      <c r="A19" s="12" t="s">
        <v>10</v>
      </c>
      <c r="B19" s="13">
        <v>20</v>
      </c>
    </row>
    <row r="20" spans="1:2" x14ac:dyDescent="0.2">
      <c r="A20" s="12" t="s">
        <v>11</v>
      </c>
      <c r="B20" s="13">
        <v>30</v>
      </c>
    </row>
    <row r="21" spans="1:2" x14ac:dyDescent="0.2">
      <c r="A21" s="12" t="s">
        <v>441</v>
      </c>
      <c r="B21" s="13">
        <v>32</v>
      </c>
    </row>
    <row r="22" spans="1:2" x14ac:dyDescent="0.2">
      <c r="A22" s="12" t="s">
        <v>12</v>
      </c>
      <c r="B22" s="13">
        <v>37</v>
      </c>
    </row>
    <row r="23" spans="1:2" x14ac:dyDescent="0.2">
      <c r="A23" s="12" t="s">
        <v>13</v>
      </c>
      <c r="B23" s="13">
        <v>34</v>
      </c>
    </row>
    <row r="24" spans="1:2" x14ac:dyDescent="0.2">
      <c r="A24" s="12" t="s">
        <v>14</v>
      </c>
      <c r="B24" s="13">
        <v>37.1</v>
      </c>
    </row>
    <row r="25" spans="1:2" x14ac:dyDescent="0.2">
      <c r="A25" s="12" t="s">
        <v>15</v>
      </c>
      <c r="B25" s="13">
        <v>30</v>
      </c>
    </row>
    <row r="26" spans="1:2" x14ac:dyDescent="0.2">
      <c r="A26" s="12" t="s">
        <v>435</v>
      </c>
      <c r="B26" s="13">
        <v>20</v>
      </c>
    </row>
    <row r="27" spans="1:2" x14ac:dyDescent="0.2">
      <c r="A27" s="12" t="s">
        <v>16</v>
      </c>
      <c r="B27" s="13">
        <v>15</v>
      </c>
    </row>
    <row r="28" spans="1:2" x14ac:dyDescent="0.2">
      <c r="A28" s="12" t="s">
        <v>17</v>
      </c>
      <c r="B28" s="13">
        <v>62</v>
      </c>
    </row>
    <row r="29" spans="1:2" x14ac:dyDescent="0.2">
      <c r="A29" s="12" t="s">
        <v>443</v>
      </c>
      <c r="B29" s="13">
        <v>52</v>
      </c>
    </row>
    <row r="30" spans="1:2" x14ac:dyDescent="0.2">
      <c r="A30" s="12" t="s">
        <v>431</v>
      </c>
      <c r="B30" s="13">
        <v>52</v>
      </c>
    </row>
    <row r="31" spans="1:2" x14ac:dyDescent="0.2">
      <c r="A31" s="12" t="s">
        <v>18</v>
      </c>
      <c r="B31" s="13">
        <v>37</v>
      </c>
    </row>
    <row r="32" spans="1:2" x14ac:dyDescent="0.2">
      <c r="A32" s="12" t="s">
        <v>19</v>
      </c>
      <c r="B32" s="13">
        <v>45</v>
      </c>
    </row>
    <row r="33" spans="1:2" x14ac:dyDescent="0.2">
      <c r="A33" s="12" t="s">
        <v>568</v>
      </c>
      <c r="B33" s="13">
        <v>92</v>
      </c>
    </row>
    <row r="34" spans="1:2" x14ac:dyDescent="0.2">
      <c r="A34" s="12" t="s">
        <v>442</v>
      </c>
      <c r="B34" s="13">
        <v>42.5</v>
      </c>
    </row>
    <row r="35" spans="1:2" x14ac:dyDescent="0.2">
      <c r="A35" s="12" t="s">
        <v>422</v>
      </c>
      <c r="B35" s="13">
        <v>52</v>
      </c>
    </row>
    <row r="36" spans="1:2" x14ac:dyDescent="0.2">
      <c r="A36" s="12" t="s">
        <v>20</v>
      </c>
      <c r="B36" s="13">
        <v>26</v>
      </c>
    </row>
    <row r="37" spans="1:2" x14ac:dyDescent="0.2">
      <c r="A37" s="12" t="s">
        <v>447</v>
      </c>
      <c r="B37" s="13">
        <v>47</v>
      </c>
    </row>
    <row r="38" spans="1:2" x14ac:dyDescent="0.2">
      <c r="A38" s="12" t="s">
        <v>21</v>
      </c>
      <c r="B38" s="13">
        <v>27</v>
      </c>
    </row>
    <row r="39" spans="1:2" x14ac:dyDescent="0.2">
      <c r="A39" s="12" t="s">
        <v>22</v>
      </c>
      <c r="B39" s="13">
        <v>16</v>
      </c>
    </row>
    <row r="40" spans="1:2" x14ac:dyDescent="0.2">
      <c r="A40" s="12" t="s">
        <v>23</v>
      </c>
      <c r="B40" s="13">
        <v>42</v>
      </c>
    </row>
    <row r="41" spans="1:2" x14ac:dyDescent="0.2">
      <c r="A41" s="12" t="s">
        <v>438</v>
      </c>
      <c r="B41" s="13">
        <v>98</v>
      </c>
    </row>
    <row r="42" spans="1:2" x14ac:dyDescent="0.2">
      <c r="A42" s="12" t="s">
        <v>24</v>
      </c>
      <c r="B42" s="13">
        <v>31</v>
      </c>
    </row>
    <row r="43" spans="1:2" x14ac:dyDescent="0.2">
      <c r="A43" s="12" t="s">
        <v>25</v>
      </c>
      <c r="B43" s="13">
        <v>14</v>
      </c>
    </row>
    <row r="44" spans="1:2" x14ac:dyDescent="0.2">
      <c r="A44" s="12" t="s">
        <v>26</v>
      </c>
      <c r="B44" s="13">
        <v>11</v>
      </c>
    </row>
    <row r="45" spans="1:2" x14ac:dyDescent="0.2">
      <c r="A45" s="12" t="s">
        <v>27</v>
      </c>
      <c r="B45" s="13">
        <v>15.5</v>
      </c>
    </row>
    <row r="46" spans="1:2" x14ac:dyDescent="0.2">
      <c r="A46" s="12" t="s">
        <v>28</v>
      </c>
      <c r="B46" s="13">
        <v>45</v>
      </c>
    </row>
    <row r="47" spans="1:2" x14ac:dyDescent="0.2">
      <c r="A47" s="12" t="s">
        <v>452</v>
      </c>
      <c r="B47" s="13">
        <v>26</v>
      </c>
    </row>
    <row r="48" spans="1:2" x14ac:dyDescent="0.2">
      <c r="A48" s="12" t="s">
        <v>29</v>
      </c>
      <c r="B48" s="13">
        <v>17</v>
      </c>
    </row>
    <row r="49" spans="1:3" x14ac:dyDescent="0.2">
      <c r="A49" s="12" t="s">
        <v>30</v>
      </c>
      <c r="B49" s="13">
        <v>14</v>
      </c>
    </row>
    <row r="50" spans="1:3" x14ac:dyDescent="0.2">
      <c r="A50" s="12" t="s">
        <v>31</v>
      </c>
      <c r="B50" s="13">
        <v>40</v>
      </c>
      <c r="C50" t="s">
        <v>554</v>
      </c>
    </row>
    <row r="51" spans="1:3" x14ac:dyDescent="0.2">
      <c r="A51" s="12" t="s">
        <v>32</v>
      </c>
      <c r="B51" s="13">
        <v>26</v>
      </c>
    </row>
    <row r="52" spans="1:3" x14ac:dyDescent="0.2">
      <c r="A52" s="12" t="s">
        <v>1171</v>
      </c>
      <c r="B52" s="13">
        <v>47</v>
      </c>
    </row>
    <row r="53" spans="1:3" x14ac:dyDescent="0.2">
      <c r="A53" s="12" t="s">
        <v>404</v>
      </c>
      <c r="B53" s="13">
        <v>62</v>
      </c>
    </row>
    <row r="54" spans="1:3" x14ac:dyDescent="0.2">
      <c r="A54" s="12" t="s">
        <v>33</v>
      </c>
      <c r="B54" s="13">
        <v>38</v>
      </c>
    </row>
    <row r="55" spans="1:3" x14ac:dyDescent="0.2">
      <c r="A55" s="12" t="s">
        <v>34</v>
      </c>
      <c r="B55" s="13">
        <v>41</v>
      </c>
    </row>
    <row r="56" spans="1:3" x14ac:dyDescent="0.2">
      <c r="A56" s="12" t="s">
        <v>35</v>
      </c>
      <c r="B56" s="13">
        <v>39</v>
      </c>
    </row>
    <row r="57" spans="1:3" x14ac:dyDescent="0.2">
      <c r="A57" s="12" t="s">
        <v>36</v>
      </c>
      <c r="B57" s="13">
        <v>46</v>
      </c>
    </row>
    <row r="58" spans="1:3" x14ac:dyDescent="0.2">
      <c r="A58" s="12" t="s">
        <v>37</v>
      </c>
      <c r="B58" s="13">
        <v>42</v>
      </c>
    </row>
    <row r="59" spans="1:3" x14ac:dyDescent="0.2">
      <c r="A59" s="12" t="s">
        <v>38</v>
      </c>
      <c r="B59" s="13">
        <v>39</v>
      </c>
    </row>
    <row r="60" spans="1:3" x14ac:dyDescent="0.2">
      <c r="A60" s="12" t="s">
        <v>39</v>
      </c>
      <c r="B60" s="13">
        <v>18</v>
      </c>
    </row>
    <row r="61" spans="1:3" x14ac:dyDescent="0.2">
      <c r="A61" s="12" t="s">
        <v>40</v>
      </c>
      <c r="B61" s="13">
        <v>20</v>
      </c>
    </row>
    <row r="62" spans="1:3" x14ac:dyDescent="0.2">
      <c r="A62" s="12" t="s">
        <v>41</v>
      </c>
      <c r="B62" s="13">
        <v>18</v>
      </c>
    </row>
    <row r="63" spans="1:3" x14ac:dyDescent="0.2">
      <c r="A63" s="12" t="s">
        <v>42</v>
      </c>
      <c r="B63" s="13">
        <v>20.5</v>
      </c>
    </row>
    <row r="64" spans="1:3" x14ac:dyDescent="0.2">
      <c r="A64" s="12" t="s">
        <v>559</v>
      </c>
      <c r="B64" s="13">
        <v>27</v>
      </c>
    </row>
    <row r="65" spans="1:2" x14ac:dyDescent="0.2">
      <c r="A65" s="12" t="s">
        <v>48</v>
      </c>
      <c r="B65" s="13">
        <v>34</v>
      </c>
    </row>
    <row r="66" spans="1:2" x14ac:dyDescent="0.2">
      <c r="A66" s="12" t="s">
        <v>49</v>
      </c>
      <c r="B66" s="13">
        <v>30</v>
      </c>
    </row>
    <row r="67" spans="1:2" x14ac:dyDescent="0.2">
      <c r="A67" s="12" t="s">
        <v>50</v>
      </c>
      <c r="B67" s="13">
        <v>22</v>
      </c>
    </row>
    <row r="68" spans="1:2" x14ac:dyDescent="0.2">
      <c r="A68" s="12" t="s">
        <v>51</v>
      </c>
      <c r="B68" s="13">
        <v>26</v>
      </c>
    </row>
    <row r="69" spans="1:2" x14ac:dyDescent="0.2">
      <c r="A69" s="12" t="s">
        <v>52</v>
      </c>
      <c r="B69" s="13">
        <v>26</v>
      </c>
    </row>
    <row r="70" spans="1:2" x14ac:dyDescent="0.2">
      <c r="A70" s="12" t="s">
        <v>579</v>
      </c>
      <c r="B70" s="13">
        <v>44</v>
      </c>
    </row>
    <row r="71" spans="1:2" x14ac:dyDescent="0.2">
      <c r="A71" s="12" t="s">
        <v>53</v>
      </c>
      <c r="B71" s="13">
        <v>20</v>
      </c>
    </row>
    <row r="72" spans="1:2" x14ac:dyDescent="0.2">
      <c r="A72" s="12" t="s">
        <v>54</v>
      </c>
      <c r="B72" s="13">
        <v>16</v>
      </c>
    </row>
    <row r="73" spans="1:2" x14ac:dyDescent="0.2">
      <c r="A73" s="12" t="s">
        <v>55</v>
      </c>
      <c r="B73" s="13">
        <v>20</v>
      </c>
    </row>
    <row r="74" spans="1:2" x14ac:dyDescent="0.2">
      <c r="A74" s="12" t="s">
        <v>56</v>
      </c>
      <c r="B74" s="13">
        <v>16</v>
      </c>
    </row>
    <row r="75" spans="1:2" x14ac:dyDescent="0.2">
      <c r="A75" s="12" t="s">
        <v>58</v>
      </c>
      <c r="B75" s="13">
        <v>17</v>
      </c>
    </row>
    <row r="76" spans="1:2" x14ac:dyDescent="0.2">
      <c r="A76" s="12" t="s">
        <v>566</v>
      </c>
      <c r="B76" s="13">
        <v>23</v>
      </c>
    </row>
    <row r="77" spans="1:2" x14ac:dyDescent="0.2">
      <c r="A77" s="12" t="s">
        <v>57</v>
      </c>
      <c r="B77" s="13">
        <v>27</v>
      </c>
    </row>
    <row r="78" spans="1:2" x14ac:dyDescent="0.2">
      <c r="A78" s="12" t="s">
        <v>46</v>
      </c>
      <c r="B78" s="13">
        <v>39</v>
      </c>
    </row>
    <row r="79" spans="1:2" x14ac:dyDescent="0.2">
      <c r="A79" s="12" t="s">
        <v>45</v>
      </c>
      <c r="B79" s="13">
        <v>23</v>
      </c>
    </row>
    <row r="80" spans="1:2" x14ac:dyDescent="0.2">
      <c r="A80" s="12" t="s">
        <v>44</v>
      </c>
      <c r="B80" s="13">
        <v>16</v>
      </c>
    </row>
    <row r="81" spans="1:2" x14ac:dyDescent="0.2">
      <c r="A81" s="12" t="s">
        <v>43</v>
      </c>
      <c r="B81" s="13">
        <v>42</v>
      </c>
    </row>
    <row r="82" spans="1:2" x14ac:dyDescent="0.2">
      <c r="A82" s="12" t="s">
        <v>405</v>
      </c>
      <c r="B82" s="13">
        <v>28.5</v>
      </c>
    </row>
    <row r="83" spans="1:2" x14ac:dyDescent="0.2">
      <c r="A83" s="12" t="s">
        <v>47</v>
      </c>
      <c r="B83" s="13">
        <v>24.5</v>
      </c>
    </row>
    <row r="84" spans="1:2" x14ac:dyDescent="0.2">
      <c r="A84" s="12" t="s">
        <v>426</v>
      </c>
      <c r="B84" s="13">
        <v>0</v>
      </c>
    </row>
    <row r="85" spans="1:2" x14ac:dyDescent="0.2">
      <c r="A85" s="12" t="s">
        <v>59</v>
      </c>
      <c r="B85" s="13">
        <v>16</v>
      </c>
    </row>
    <row r="86" spans="1:2" x14ac:dyDescent="0.2">
      <c r="A86" s="14" t="s">
        <v>1063</v>
      </c>
      <c r="B86" s="7">
        <v>32</v>
      </c>
    </row>
    <row r="87" spans="1:2" x14ac:dyDescent="0.2">
      <c r="A87" s="14" t="s">
        <v>570</v>
      </c>
      <c r="B87" s="7">
        <f>SUM((B57/18)*6)+((B58/15)*2)+((B59/15)*2)</f>
        <v>26.133333333333329</v>
      </c>
    </row>
    <row r="88" spans="1:2" x14ac:dyDescent="0.2">
      <c r="A88" s="14" t="s">
        <v>571</v>
      </c>
      <c r="B88" s="7">
        <f>SUM((B81/20)*5)+((B49/35)*5)+((B37/10)*1)+((B26/12)*1)</f>
        <v>18.866666666666667</v>
      </c>
    </row>
    <row r="89" spans="1:2" x14ac:dyDescent="0.2">
      <c r="A89" s="14" t="s">
        <v>580</v>
      </c>
      <c r="B89" s="7">
        <f>(SUM(B19/16,B31/18,B36/15,B60/8.5))</f>
        <v>7.1565359477124186</v>
      </c>
    </row>
    <row r="90" spans="1:2" x14ac:dyDescent="0.2">
      <c r="A90" s="14" t="s">
        <v>588</v>
      </c>
      <c r="B90" s="7">
        <f>SUM(((B12/10)*10)+((B17/35)*1)+((B20/35))*2)</f>
        <v>24.428571428571431</v>
      </c>
    </row>
    <row r="91" spans="1:2" x14ac:dyDescent="0.2">
      <c r="A91" s="14" t="s">
        <v>589</v>
      </c>
      <c r="B91" s="7">
        <f>SUM((B58/17)*5)+((B59/17)*5)</f>
        <v>23.823529411764703</v>
      </c>
    </row>
    <row r="92" spans="1:2" x14ac:dyDescent="0.2">
      <c r="A92" s="14" t="s">
        <v>1134</v>
      </c>
      <c r="B92" s="7">
        <v>77</v>
      </c>
    </row>
    <row r="93" spans="1:2" x14ac:dyDescent="0.2">
      <c r="A93" s="14" t="s">
        <v>1029</v>
      </c>
      <c r="B93" s="7">
        <v>24</v>
      </c>
    </row>
    <row r="94" spans="1:2" x14ac:dyDescent="0.2">
      <c r="A94" s="14" t="s">
        <v>1030</v>
      </c>
      <c r="B94" s="7">
        <v>24</v>
      </c>
    </row>
    <row r="95" spans="1:2" x14ac:dyDescent="0.2">
      <c r="A95" s="14" t="s">
        <v>1031</v>
      </c>
      <c r="B95" s="7">
        <v>44</v>
      </c>
    </row>
    <row r="96" spans="1:2" x14ac:dyDescent="0.2">
      <c r="A96" s="14" t="s">
        <v>597</v>
      </c>
      <c r="B96" s="7">
        <v>22</v>
      </c>
    </row>
    <row r="97" spans="1:2" x14ac:dyDescent="0.2">
      <c r="A97" s="14" t="s">
        <v>1032</v>
      </c>
      <c r="B97" s="7">
        <v>32</v>
      </c>
    </row>
    <row r="98" spans="1:2" x14ac:dyDescent="0.2">
      <c r="A98" s="14" t="s">
        <v>1033</v>
      </c>
      <c r="B98" s="7">
        <v>34</v>
      </c>
    </row>
    <row r="99" spans="1:2" x14ac:dyDescent="0.2">
      <c r="A99" s="14" t="s">
        <v>1034</v>
      </c>
      <c r="B99" s="7">
        <v>27</v>
      </c>
    </row>
    <row r="100" spans="1:2" x14ac:dyDescent="0.2">
      <c r="A100" s="14" t="s">
        <v>1025</v>
      </c>
      <c r="B100" s="7">
        <v>0</v>
      </c>
    </row>
    <row r="101" spans="1:2" x14ac:dyDescent="0.2">
      <c r="A101" s="14" t="s">
        <v>1035</v>
      </c>
      <c r="B101" s="7">
        <v>29.5</v>
      </c>
    </row>
    <row r="102" spans="1:2" x14ac:dyDescent="0.2">
      <c r="A102" s="14" t="s">
        <v>1036</v>
      </c>
      <c r="B102" s="7">
        <v>34</v>
      </c>
    </row>
    <row r="103" spans="1:2" x14ac:dyDescent="0.2">
      <c r="A103" s="14" t="s">
        <v>1027</v>
      </c>
      <c r="B103" s="7">
        <v>0</v>
      </c>
    </row>
    <row r="104" spans="1:2" x14ac:dyDescent="0.2">
      <c r="A104" s="14" t="s">
        <v>1028</v>
      </c>
      <c r="B104" s="7">
        <v>17</v>
      </c>
    </row>
    <row r="105" spans="1:2" x14ac:dyDescent="0.2">
      <c r="A105" s="14" t="s">
        <v>1037</v>
      </c>
      <c r="B105" s="7">
        <v>17</v>
      </c>
    </row>
    <row r="106" spans="1:2" x14ac:dyDescent="0.2">
      <c r="A106" s="14" t="s">
        <v>1026</v>
      </c>
      <c r="B106" s="7">
        <v>62</v>
      </c>
    </row>
    <row r="107" spans="1:2" x14ac:dyDescent="0.2">
      <c r="A107" s="14" t="s">
        <v>1038</v>
      </c>
      <c r="B107" s="7">
        <v>21</v>
      </c>
    </row>
    <row r="108" spans="1:2" x14ac:dyDescent="0.2">
      <c r="A108" s="14" t="s">
        <v>1039</v>
      </c>
      <c r="B108" s="7">
        <v>20</v>
      </c>
    </row>
    <row r="109" spans="1:2" x14ac:dyDescent="0.2">
      <c r="A109" s="14" t="s">
        <v>1040</v>
      </c>
      <c r="B109" s="7">
        <v>0</v>
      </c>
    </row>
    <row r="110" spans="1:2" x14ac:dyDescent="0.2">
      <c r="A110" s="14" t="s">
        <v>1024</v>
      </c>
      <c r="B110" s="7">
        <v>16</v>
      </c>
    </row>
    <row r="111" spans="1:2" x14ac:dyDescent="0.2">
      <c r="A111" s="14" t="s">
        <v>1041</v>
      </c>
      <c r="B111" s="7">
        <v>30</v>
      </c>
    </row>
    <row r="112" spans="1:2" x14ac:dyDescent="0.2">
      <c r="A112" s="14" t="s">
        <v>1023</v>
      </c>
      <c r="B112" s="7">
        <v>26</v>
      </c>
    </row>
    <row r="113" spans="1:3" x14ac:dyDescent="0.2">
      <c r="A113" s="14" t="s">
        <v>1053</v>
      </c>
      <c r="B113" s="7">
        <v>17</v>
      </c>
    </row>
    <row r="114" spans="1:3" x14ac:dyDescent="0.2">
      <c r="A114" s="14" t="s">
        <v>1108</v>
      </c>
      <c r="B114" s="7">
        <f>SUM(B53/20)+(B60/8.5)+(B43/5.5)</f>
        <v>7.7631016042780754</v>
      </c>
      <c r="C114" t="s">
        <v>1107</v>
      </c>
    </row>
    <row r="115" spans="1:3" x14ac:dyDescent="0.2">
      <c r="A115" s="14" t="s">
        <v>1135</v>
      </c>
      <c r="B115" s="7">
        <f>SUM((B58/14)*5)+((B59/14)*5)</f>
        <v>28.928571428571427</v>
      </c>
    </row>
    <row r="116" spans="1:3" x14ac:dyDescent="0.2">
      <c r="A116" s="14" t="s">
        <v>1137</v>
      </c>
      <c r="B116" s="7">
        <v>29</v>
      </c>
    </row>
    <row r="117" spans="1:3" x14ac:dyDescent="0.2">
      <c r="A117" s="14" t="s">
        <v>1136</v>
      </c>
      <c r="B117" s="7">
        <f>(B116/40)+(B42/40)</f>
        <v>1.5</v>
      </c>
    </row>
    <row r="118" spans="1:3" x14ac:dyDescent="0.2">
      <c r="A118" s="14" t="s">
        <v>1140</v>
      </c>
      <c r="B118" s="7">
        <f>(B43/4.5)+(B9/4.5)</f>
        <v>11.111111111111111</v>
      </c>
    </row>
    <row r="119" spans="1:3" x14ac:dyDescent="0.2">
      <c r="A119" s="14" t="s">
        <v>1142</v>
      </c>
      <c r="B119" s="7">
        <f>(B19/15)+(B116/40)</f>
        <v>2.0583333333333331</v>
      </c>
    </row>
    <row r="120" spans="1:3" x14ac:dyDescent="0.2">
      <c r="A120" s="14" t="s">
        <v>1144</v>
      </c>
      <c r="B120" s="7">
        <f>(B40/18)+(B31/18)</f>
        <v>4.3888888888888893</v>
      </c>
    </row>
    <row r="121" spans="1:3" x14ac:dyDescent="0.2">
      <c r="A121" s="14" t="s">
        <v>1147</v>
      </c>
      <c r="B121" s="7">
        <f>(B12/15)+(B25/35)+(B29/40)+(B78/7.5)+(B22/30)</f>
        <v>10.057142857142857</v>
      </c>
    </row>
    <row r="122" spans="1:3" x14ac:dyDescent="0.2">
      <c r="A122" s="14" t="s">
        <v>1151</v>
      </c>
      <c r="B122" s="7">
        <v>40</v>
      </c>
    </row>
    <row r="123" spans="1:3" x14ac:dyDescent="0.2">
      <c r="A123" s="14" t="s">
        <v>1152</v>
      </c>
      <c r="B123" s="7">
        <v>40</v>
      </c>
    </row>
    <row r="124" spans="1:3" x14ac:dyDescent="0.2">
      <c r="A124" s="14" t="s">
        <v>1153</v>
      </c>
      <c r="B124" s="7">
        <f>SUM(((B16/45)*2.6))+((B17/45)*2.6)+((B20/45)*2.6)</f>
        <v>4.16</v>
      </c>
    </row>
    <row r="125" spans="1:3" x14ac:dyDescent="0.2">
      <c r="A125" s="14" t="s">
        <v>1154</v>
      </c>
      <c r="B125" s="7">
        <v>36</v>
      </c>
    </row>
    <row r="126" spans="1:3" x14ac:dyDescent="0.2">
      <c r="A126" s="14" t="s">
        <v>1155</v>
      </c>
      <c r="B126" s="7">
        <f>SUM((B75/7.5)*1)+((B60/10)*1)+((B9/4.5)*1)</f>
        <v>12.066666666666666</v>
      </c>
    </row>
    <row r="127" spans="1:3" x14ac:dyDescent="0.2">
      <c r="A127" s="14" t="s">
        <v>1157</v>
      </c>
      <c r="B127" s="7">
        <f>SUM((B12/18)*1)+((B24/15)*1)+((B25/35)*1)</f>
        <v>4.5526984126984127</v>
      </c>
    </row>
    <row r="128" spans="1:3" x14ac:dyDescent="0.2">
      <c r="A128" s="14" t="s">
        <v>1160</v>
      </c>
      <c r="B128" s="7">
        <f>SUM((B31/18)*1)+((B43/5)*1)+((B60/10)*1)</f>
        <v>6.655555555555555</v>
      </c>
    </row>
    <row r="129" spans="1:2" x14ac:dyDescent="0.2">
      <c r="A129" s="14" t="s">
        <v>1162</v>
      </c>
      <c r="B129" s="7">
        <f>SUM((B38/20)*1)+((B65/40)*1)+((B99/10)*1)</f>
        <v>4.9000000000000004</v>
      </c>
    </row>
    <row r="130" spans="1:2" x14ac:dyDescent="0.2">
      <c r="A130" s="14" t="s">
        <v>1164</v>
      </c>
      <c r="B130" s="7">
        <f>SUM((B54/20)*1)+((B83/20)*1)</f>
        <v>3.125</v>
      </c>
    </row>
    <row r="131" spans="1:2" x14ac:dyDescent="0.2">
      <c r="A131" s="14" t="s">
        <v>1166</v>
      </c>
      <c r="B131" s="7">
        <v>37</v>
      </c>
    </row>
    <row r="132" spans="1:2" x14ac:dyDescent="0.2">
      <c r="A132" s="14" t="s">
        <v>1169</v>
      </c>
      <c r="B132" s="7">
        <f>SUM(B4/10)+(B42/40)</f>
        <v>4.375</v>
      </c>
    </row>
    <row r="133" spans="1:2" x14ac:dyDescent="0.2">
      <c r="A133" s="14" t="s">
        <v>1170</v>
      </c>
      <c r="B133" s="7">
        <f>SUM(B57/15)+(B58/15)</f>
        <v>5.8666666666666671</v>
      </c>
    </row>
    <row r="134" spans="1:2" x14ac:dyDescent="0.2">
      <c r="A134" s="14" t="s">
        <v>1172</v>
      </c>
      <c r="B134" s="7">
        <f>SUM(B3/29)+(B56/29)</f>
        <v>2.896551724137931</v>
      </c>
    </row>
    <row r="135" spans="1:2" x14ac:dyDescent="0.2">
      <c r="A135" s="14" t="s">
        <v>1203</v>
      </c>
      <c r="B135" s="7">
        <f>SUM(B31/18)+(B3/29)</f>
        <v>3.6072796934865901</v>
      </c>
    </row>
    <row r="136" spans="1:2" x14ac:dyDescent="0.2">
      <c r="A136" s="14" t="s">
        <v>1173</v>
      </c>
      <c r="B136" s="7">
        <f>SUM(B3/29)+(B25/35)</f>
        <v>2.4088669950738915</v>
      </c>
    </row>
    <row r="137" spans="1:2" x14ac:dyDescent="0.2">
      <c r="A137" s="14" t="s">
        <v>1174</v>
      </c>
      <c r="B137" s="7">
        <f>SUM(B3/29)+(B21/20)</f>
        <v>3.1517241379310343</v>
      </c>
    </row>
    <row r="138" spans="1:2" x14ac:dyDescent="0.2">
      <c r="A138" s="14" t="s">
        <v>1175</v>
      </c>
      <c r="B138" s="7">
        <f>SUM(B83/18)+(B3/29)</f>
        <v>2.9128352490421454</v>
      </c>
    </row>
    <row r="139" spans="1:2" x14ac:dyDescent="0.2">
      <c r="A139" s="14" t="s">
        <v>1176</v>
      </c>
      <c r="B139" s="7">
        <f>SUM(B12/18)+(B24/16)</f>
        <v>3.5409722222222224</v>
      </c>
    </row>
    <row r="140" spans="1:2" x14ac:dyDescent="0.2">
      <c r="A140" s="14" t="s">
        <v>1177</v>
      </c>
      <c r="B140" s="7">
        <f>SUM(B80/8)+(B12/18)</f>
        <v>3.2222222222222223</v>
      </c>
    </row>
    <row r="141" spans="1:2" x14ac:dyDescent="0.2">
      <c r="A141" s="14" t="s">
        <v>1178</v>
      </c>
      <c r="B141" s="7">
        <f>SUM(B77/10)+(B12/18)</f>
        <v>3.9222222222222225</v>
      </c>
    </row>
    <row r="142" spans="1:2" x14ac:dyDescent="0.2">
      <c r="A142" s="14" t="s">
        <v>1179</v>
      </c>
      <c r="B142" s="7">
        <f>SUM(B19/18)+(B31/18)</f>
        <v>3.1666666666666665</v>
      </c>
    </row>
    <row r="143" spans="1:2" x14ac:dyDescent="0.2">
      <c r="A143" s="14" t="s">
        <v>1180</v>
      </c>
      <c r="B143" s="7">
        <f>SUM(B36/15)+(B19/18)</f>
        <v>2.8444444444444446</v>
      </c>
    </row>
    <row r="144" spans="1:2" x14ac:dyDescent="0.2">
      <c r="A144" s="14" t="s">
        <v>1181</v>
      </c>
      <c r="B144" s="7">
        <f>SUM(B60/9)+(B19/18)</f>
        <v>3.1111111111111112</v>
      </c>
    </row>
    <row r="145" spans="1:2" x14ac:dyDescent="0.2">
      <c r="A145" s="14" t="s">
        <v>1182</v>
      </c>
      <c r="B145" s="7">
        <f>SUM(B12/18)+(B21/20)</f>
        <v>2.8222222222222224</v>
      </c>
    </row>
    <row r="146" spans="1:2" x14ac:dyDescent="0.2">
      <c r="A146" s="14" t="s">
        <v>1183</v>
      </c>
      <c r="B146" s="7">
        <f>SUM(B21/20)+(B25/35)</f>
        <v>2.4571428571428573</v>
      </c>
    </row>
    <row r="147" spans="1:2" x14ac:dyDescent="0.2">
      <c r="A147" s="14" t="s">
        <v>1184</v>
      </c>
      <c r="B147" s="7">
        <f>SUM(B80/8)+(B21/20)</f>
        <v>3.6</v>
      </c>
    </row>
    <row r="148" spans="1:2" x14ac:dyDescent="0.2">
      <c r="A148" s="14" t="s">
        <v>1185</v>
      </c>
      <c r="B148" s="7">
        <f>SUM(B56/29)+(B21/20)</f>
        <v>2.9448275862068964</v>
      </c>
    </row>
    <row r="149" spans="1:2" x14ac:dyDescent="0.2">
      <c r="A149" s="14" t="s">
        <v>1186</v>
      </c>
      <c r="B149" s="7">
        <f>SUM(B77/10)+(B21/20)</f>
        <v>4.3000000000000007</v>
      </c>
    </row>
    <row r="150" spans="1:2" x14ac:dyDescent="0.2">
      <c r="A150" s="14" t="s">
        <v>1187</v>
      </c>
      <c r="B150" s="7">
        <f>SUM(B80/8)+(B24/16)</f>
        <v>4.3187499999999996</v>
      </c>
    </row>
    <row r="151" spans="1:2" x14ac:dyDescent="0.2">
      <c r="A151" s="14" t="s">
        <v>1188</v>
      </c>
      <c r="B151" s="7">
        <f>SUM(B80/8)+(B25/35)</f>
        <v>2.8571428571428572</v>
      </c>
    </row>
    <row r="152" spans="1:2" x14ac:dyDescent="0.2">
      <c r="A152" s="14" t="s">
        <v>1189</v>
      </c>
      <c r="B152" s="7">
        <f>SUM(B56/29)+(B25/35)</f>
        <v>2.2019704433497536</v>
      </c>
    </row>
    <row r="153" spans="1:2" x14ac:dyDescent="0.2">
      <c r="A153" s="14" t="s">
        <v>1190</v>
      </c>
      <c r="B153" s="7">
        <f>SUM(B31/18)+(B25/35)</f>
        <v>2.9126984126984126</v>
      </c>
    </row>
    <row r="154" spans="1:2" x14ac:dyDescent="0.2">
      <c r="A154" s="14" t="s">
        <v>1191</v>
      </c>
      <c r="B154" s="7">
        <f>SUM(B60/10)+(B29/40)</f>
        <v>3.1</v>
      </c>
    </row>
    <row r="155" spans="1:2" x14ac:dyDescent="0.2">
      <c r="A155" s="14" t="s">
        <v>1192</v>
      </c>
      <c r="B155" s="7">
        <f>SUM(B31/18)+(B60/10)</f>
        <v>3.8555555555555552</v>
      </c>
    </row>
    <row r="156" spans="1:2" x14ac:dyDescent="0.2">
      <c r="A156" s="14" t="s">
        <v>1193</v>
      </c>
      <c r="B156" s="7">
        <f>SUM(B80/8)+(B31/18)</f>
        <v>4.0555555555555554</v>
      </c>
    </row>
    <row r="157" spans="1:2" x14ac:dyDescent="0.2">
      <c r="A157" s="14" t="s">
        <v>1194</v>
      </c>
      <c r="B157" s="7">
        <f>SUM(B80/8)+(B43/5)</f>
        <v>4.8</v>
      </c>
    </row>
    <row r="158" spans="1:2" x14ac:dyDescent="0.2">
      <c r="A158" s="14" t="s">
        <v>1195</v>
      </c>
      <c r="B158" s="7">
        <f>SUM(B31/18)+(B36/15)</f>
        <v>3.7888888888888888</v>
      </c>
    </row>
    <row r="159" spans="1:2" x14ac:dyDescent="0.2">
      <c r="A159" s="14" t="s">
        <v>1196</v>
      </c>
      <c r="B159" s="7">
        <f>SUM(B36/15)+(B60/10)</f>
        <v>3.5333333333333332</v>
      </c>
    </row>
    <row r="160" spans="1:2" x14ac:dyDescent="0.2">
      <c r="A160" s="14" t="s">
        <v>1197</v>
      </c>
      <c r="B160" s="7">
        <f>SUM(B38/30)+(B31/18)</f>
        <v>2.9555555555555553</v>
      </c>
    </row>
    <row r="161" spans="1:2" x14ac:dyDescent="0.2">
      <c r="A161" s="14" t="s">
        <v>1198</v>
      </c>
      <c r="B161" s="7">
        <f>SUM(B43/5)+(B38/30)</f>
        <v>3.6999999999999997</v>
      </c>
    </row>
    <row r="162" spans="1:2" x14ac:dyDescent="0.2">
      <c r="A162" s="14" t="s">
        <v>1199</v>
      </c>
      <c r="B162" s="7">
        <f>SUM(B60/10)+(B38/30)</f>
        <v>2.7</v>
      </c>
    </row>
    <row r="163" spans="1:2" x14ac:dyDescent="0.2">
      <c r="A163" s="14" t="s">
        <v>1200</v>
      </c>
      <c r="B163" s="7">
        <f>SUM(B56/29)+(B31/18)</f>
        <v>3.4003831417624522</v>
      </c>
    </row>
    <row r="164" spans="1:2" x14ac:dyDescent="0.2">
      <c r="A164" s="14" t="s">
        <v>1201</v>
      </c>
      <c r="B164" s="7">
        <f>SUM(B77/10)+(B57/17)</f>
        <v>5.4058823529411768</v>
      </c>
    </row>
    <row r="165" spans="1:2" x14ac:dyDescent="0.2">
      <c r="A165" s="14" t="s">
        <v>1202</v>
      </c>
      <c r="B165" s="7">
        <f>SUM(B75/7.5)+(B9/4.5)</f>
        <v>10.266666666666666</v>
      </c>
    </row>
    <row r="166" spans="1:2" x14ac:dyDescent="0.2">
      <c r="A166" s="14" t="s">
        <v>1204</v>
      </c>
      <c r="B166" s="7">
        <f>SUM(B75/7.5)+(B31/18)</f>
        <v>4.322222222222222</v>
      </c>
    </row>
    <row r="167" spans="1:2" x14ac:dyDescent="0.2">
      <c r="A167" s="14" t="s">
        <v>1205</v>
      </c>
      <c r="B167" s="7">
        <f>SUM(B75/7.5)+(B43/5)</f>
        <v>5.0666666666666664</v>
      </c>
    </row>
    <row r="168" spans="1:2" x14ac:dyDescent="0.2">
      <c r="A168" s="14"/>
      <c r="B168" s="7"/>
    </row>
    <row r="169" spans="1:2" x14ac:dyDescent="0.2">
      <c r="A169" s="14"/>
      <c r="B169" s="7"/>
    </row>
    <row r="170" spans="1:2" x14ac:dyDescent="0.2">
      <c r="A170" s="14"/>
      <c r="B170" s="7"/>
    </row>
    <row r="171" spans="1:2" x14ac:dyDescent="0.2">
      <c r="A171" s="14"/>
      <c r="B171" s="7"/>
    </row>
    <row r="172" spans="1:2" x14ac:dyDescent="0.2">
      <c r="A172" s="14"/>
      <c r="B172" s="7"/>
    </row>
    <row r="173" spans="1:2" x14ac:dyDescent="0.2">
      <c r="A173" s="14"/>
      <c r="B173" s="7"/>
    </row>
    <row r="174" spans="1:2" x14ac:dyDescent="0.2">
      <c r="A174" s="14"/>
      <c r="B174" s="7"/>
    </row>
    <row r="175" spans="1:2" x14ac:dyDescent="0.2">
      <c r="A175" s="14"/>
      <c r="B175" s="7"/>
    </row>
    <row r="176" spans="1:2" x14ac:dyDescent="0.2">
      <c r="A176" s="14"/>
      <c r="B176" s="7"/>
    </row>
    <row r="177" spans="1:2" x14ac:dyDescent="0.2">
      <c r="A177" s="14"/>
      <c r="B177" s="7"/>
    </row>
    <row r="178" spans="1:2" x14ac:dyDescent="0.2">
      <c r="A178" s="14"/>
      <c r="B178" s="7"/>
    </row>
    <row r="179" spans="1:2" x14ac:dyDescent="0.2">
      <c r="A179" s="14"/>
      <c r="B179" s="7"/>
    </row>
    <row r="180" spans="1:2" x14ac:dyDescent="0.2">
      <c r="A180" s="14"/>
      <c r="B180" s="7"/>
    </row>
    <row r="181" spans="1:2" x14ac:dyDescent="0.2">
      <c r="A181" s="14"/>
      <c r="B181" s="7"/>
    </row>
    <row r="182" spans="1:2" x14ac:dyDescent="0.2">
      <c r="A182" s="14"/>
      <c r="B182" s="7"/>
    </row>
    <row r="183" spans="1:2" x14ac:dyDescent="0.2">
      <c r="A183" s="14"/>
      <c r="B183" s="7"/>
    </row>
    <row r="184" spans="1:2" x14ac:dyDescent="0.2">
      <c r="A184" s="14"/>
      <c r="B184" s="7"/>
    </row>
    <row r="185" spans="1:2" x14ac:dyDescent="0.2">
      <c r="A185" s="14"/>
      <c r="B185" s="7"/>
    </row>
    <row r="186" spans="1:2" x14ac:dyDescent="0.2">
      <c r="A186" s="14"/>
      <c r="B186" s="7"/>
    </row>
    <row r="187" spans="1:2" x14ac:dyDescent="0.2">
      <c r="A187" s="14"/>
      <c r="B187" s="7"/>
    </row>
    <row r="188" spans="1:2" x14ac:dyDescent="0.2">
      <c r="A188" s="14"/>
      <c r="B188" s="7"/>
    </row>
    <row r="189" spans="1:2" x14ac:dyDescent="0.2">
      <c r="A189" s="14"/>
      <c r="B189" s="7"/>
    </row>
    <row r="190" spans="1:2" x14ac:dyDescent="0.2">
      <c r="A190" s="14"/>
      <c r="B190" s="7"/>
    </row>
    <row r="191" spans="1:2" x14ac:dyDescent="0.2">
      <c r="A191" s="14"/>
      <c r="B191" s="7"/>
    </row>
    <row r="192" spans="1:2" x14ac:dyDescent="0.2">
      <c r="A192" s="14"/>
      <c r="B192" s="7"/>
    </row>
    <row r="193" spans="1:2" x14ac:dyDescent="0.2">
      <c r="A193" s="14"/>
      <c r="B193" s="7"/>
    </row>
    <row r="194" spans="1:2" x14ac:dyDescent="0.2">
      <c r="A194" s="14"/>
      <c r="B194" s="7"/>
    </row>
    <row r="195" spans="1:2" x14ac:dyDescent="0.2">
      <c r="A195" s="14"/>
      <c r="B195" s="7"/>
    </row>
    <row r="196" spans="1:2" x14ac:dyDescent="0.2">
      <c r="A196" s="14"/>
      <c r="B196" s="7"/>
    </row>
    <row r="197" spans="1:2" x14ac:dyDescent="0.2">
      <c r="A197" s="14"/>
      <c r="B197" s="7"/>
    </row>
    <row r="198" spans="1:2" x14ac:dyDescent="0.2">
      <c r="A198" s="14"/>
      <c r="B198" s="7"/>
    </row>
    <row r="199" spans="1:2" x14ac:dyDescent="0.2">
      <c r="A199" s="14"/>
      <c r="B199" s="7"/>
    </row>
    <row r="200" spans="1:2" x14ac:dyDescent="0.2">
      <c r="A200" s="14"/>
      <c r="B200" s="7"/>
    </row>
    <row r="201" spans="1:2" x14ac:dyDescent="0.2">
      <c r="A201" s="14"/>
      <c r="B201" s="7"/>
    </row>
    <row r="202" spans="1:2" x14ac:dyDescent="0.2">
      <c r="A202" s="14"/>
      <c r="B202" s="7"/>
    </row>
    <row r="203" spans="1:2" x14ac:dyDescent="0.2">
      <c r="A203" s="14"/>
      <c r="B203" s="7"/>
    </row>
    <row r="204" spans="1:2" x14ac:dyDescent="0.2">
      <c r="A204" s="14"/>
      <c r="B204" s="7"/>
    </row>
    <row r="205" spans="1:2" x14ac:dyDescent="0.2">
      <c r="A205" s="14"/>
      <c r="B205" s="7"/>
    </row>
    <row r="206" spans="1:2" x14ac:dyDescent="0.2">
      <c r="A206" s="14"/>
      <c r="B206" s="7"/>
    </row>
    <row r="207" spans="1:2" x14ac:dyDescent="0.2">
      <c r="A207" s="14"/>
      <c r="B207" s="7"/>
    </row>
    <row r="208" spans="1:2" x14ac:dyDescent="0.2">
      <c r="A208" s="14"/>
      <c r="B208" s="7"/>
    </row>
    <row r="209" spans="1:2" x14ac:dyDescent="0.2">
      <c r="A209" s="14"/>
      <c r="B209" s="7"/>
    </row>
    <row r="210" spans="1:2" x14ac:dyDescent="0.2">
      <c r="A210" s="14"/>
      <c r="B210" s="7"/>
    </row>
    <row r="211" spans="1:2" x14ac:dyDescent="0.2">
      <c r="A211" s="14"/>
      <c r="B211" s="7"/>
    </row>
    <row r="212" spans="1:2" x14ac:dyDescent="0.2">
      <c r="A212" s="14"/>
      <c r="B212" s="7"/>
    </row>
    <row r="213" spans="1:2" x14ac:dyDescent="0.2">
      <c r="A213" s="14"/>
      <c r="B213" s="7"/>
    </row>
    <row r="214" spans="1:2" x14ac:dyDescent="0.2">
      <c r="A214" s="14"/>
      <c r="B214" s="7"/>
    </row>
    <row r="215" spans="1:2" x14ac:dyDescent="0.2">
      <c r="A215" s="14"/>
      <c r="B215" s="7"/>
    </row>
    <row r="216" spans="1:2" x14ac:dyDescent="0.2">
      <c r="A216" s="14"/>
      <c r="B216" s="7"/>
    </row>
    <row r="217" spans="1:2" x14ac:dyDescent="0.2">
      <c r="A217" s="14"/>
      <c r="B217" s="7"/>
    </row>
    <row r="218" spans="1:2" x14ac:dyDescent="0.2">
      <c r="A218" s="14"/>
      <c r="B218" s="7"/>
    </row>
    <row r="219" spans="1:2" x14ac:dyDescent="0.2">
      <c r="A219" s="14"/>
      <c r="B219" s="7"/>
    </row>
    <row r="220" spans="1:2" x14ac:dyDescent="0.2">
      <c r="A220" s="14"/>
      <c r="B220" s="7"/>
    </row>
    <row r="221" spans="1:2" x14ac:dyDescent="0.2">
      <c r="A221" s="14"/>
      <c r="B221" s="7"/>
    </row>
    <row r="222" spans="1:2" x14ac:dyDescent="0.2">
      <c r="A222" s="14"/>
      <c r="B222" s="7"/>
    </row>
    <row r="223" spans="1:2" x14ac:dyDescent="0.2">
      <c r="A223" s="14"/>
      <c r="B223" s="7"/>
    </row>
    <row r="224" spans="1:2" x14ac:dyDescent="0.2">
      <c r="A224" s="14"/>
      <c r="B224" s="7"/>
    </row>
    <row r="225" spans="1:2" x14ac:dyDescent="0.2">
      <c r="A225" s="14"/>
      <c r="B225" s="7"/>
    </row>
    <row r="226" spans="1:2" x14ac:dyDescent="0.2">
      <c r="A226" s="14"/>
      <c r="B226" s="7"/>
    </row>
    <row r="227" spans="1:2" x14ac:dyDescent="0.2">
      <c r="A227" s="14"/>
      <c r="B227" s="7"/>
    </row>
    <row r="228" spans="1:2" x14ac:dyDescent="0.2">
      <c r="A228" s="14"/>
      <c r="B228" s="7"/>
    </row>
    <row r="229" spans="1:2" x14ac:dyDescent="0.2">
      <c r="A229" s="14"/>
      <c r="B229" s="7"/>
    </row>
    <row r="230" spans="1:2" x14ac:dyDescent="0.2">
      <c r="A230" s="14"/>
      <c r="B230" s="7"/>
    </row>
    <row r="231" spans="1:2" x14ac:dyDescent="0.2">
      <c r="A231" s="14"/>
      <c r="B231" s="7"/>
    </row>
    <row r="232" spans="1:2" x14ac:dyDescent="0.2">
      <c r="A232" s="14"/>
      <c r="B232" s="7"/>
    </row>
    <row r="233" spans="1:2" x14ac:dyDescent="0.2">
      <c r="A233" s="14"/>
      <c r="B233" s="7"/>
    </row>
    <row r="234" spans="1:2" x14ac:dyDescent="0.2">
      <c r="A234" s="14"/>
      <c r="B234" s="7"/>
    </row>
    <row r="235" spans="1:2" x14ac:dyDescent="0.2">
      <c r="A235" s="14"/>
      <c r="B235" s="7"/>
    </row>
    <row r="236" spans="1:2" x14ac:dyDescent="0.2">
      <c r="A236" s="14"/>
      <c r="B236" s="7"/>
    </row>
    <row r="237" spans="1:2" x14ac:dyDescent="0.2">
      <c r="A237" s="14"/>
      <c r="B237" s="7"/>
    </row>
    <row r="238" spans="1:2" x14ac:dyDescent="0.2">
      <c r="A238" s="14"/>
      <c r="B238" s="7"/>
    </row>
    <row r="239" spans="1:2" x14ac:dyDescent="0.2">
      <c r="A239" s="14"/>
      <c r="B239" s="7"/>
    </row>
    <row r="240" spans="1:2" x14ac:dyDescent="0.2">
      <c r="A240" s="14"/>
      <c r="B240" s="7"/>
    </row>
    <row r="241" spans="1:2" x14ac:dyDescent="0.2">
      <c r="A241" s="14"/>
      <c r="B241" s="7"/>
    </row>
    <row r="242" spans="1:2" x14ac:dyDescent="0.2">
      <c r="A242" s="14"/>
      <c r="B242" s="7"/>
    </row>
    <row r="243" spans="1:2" x14ac:dyDescent="0.2">
      <c r="A243" s="14"/>
      <c r="B243" s="7"/>
    </row>
    <row r="244" spans="1:2" x14ac:dyDescent="0.2">
      <c r="A244" s="14"/>
      <c r="B244" s="7"/>
    </row>
    <row r="245" spans="1:2" x14ac:dyDescent="0.2">
      <c r="A245" s="14"/>
      <c r="B245" s="7"/>
    </row>
    <row r="246" spans="1:2" x14ac:dyDescent="0.2">
      <c r="A246" s="14"/>
      <c r="B246" s="7"/>
    </row>
    <row r="247" spans="1:2" x14ac:dyDescent="0.2">
      <c r="A247" s="14"/>
      <c r="B247" s="7"/>
    </row>
    <row r="248" spans="1:2" x14ac:dyDescent="0.2">
      <c r="A248" s="14"/>
      <c r="B248" s="7"/>
    </row>
    <row r="249" spans="1:2" x14ac:dyDescent="0.2">
      <c r="A249" s="14"/>
      <c r="B249" s="7"/>
    </row>
    <row r="250" spans="1:2" x14ac:dyDescent="0.2">
      <c r="A250" s="14"/>
      <c r="B250" s="7"/>
    </row>
    <row r="251" spans="1:2" x14ac:dyDescent="0.2">
      <c r="A251" s="14"/>
      <c r="B251" s="7"/>
    </row>
    <row r="252" spans="1:2" x14ac:dyDescent="0.2">
      <c r="A252" s="14"/>
      <c r="B252" s="7"/>
    </row>
    <row r="253" spans="1:2" x14ac:dyDescent="0.2">
      <c r="A253" s="14"/>
      <c r="B253" s="7"/>
    </row>
    <row r="254" spans="1:2" x14ac:dyDescent="0.2">
      <c r="A254" s="14"/>
      <c r="B254" s="7"/>
    </row>
    <row r="255" spans="1:2" x14ac:dyDescent="0.2">
      <c r="A255" s="14"/>
      <c r="B255" s="7"/>
    </row>
    <row r="256" spans="1:2" x14ac:dyDescent="0.2">
      <c r="A256" s="14"/>
      <c r="B256" s="7"/>
    </row>
    <row r="257" spans="1:2" x14ac:dyDescent="0.2">
      <c r="A257" s="14"/>
      <c r="B257" s="7"/>
    </row>
    <row r="258" spans="1:2" x14ac:dyDescent="0.2">
      <c r="A258" s="14"/>
      <c r="B258" s="7"/>
    </row>
    <row r="259" spans="1:2" x14ac:dyDescent="0.2">
      <c r="A259" s="14"/>
      <c r="B259" s="7"/>
    </row>
    <row r="260" spans="1:2" x14ac:dyDescent="0.2">
      <c r="A260" s="14"/>
      <c r="B260" s="7"/>
    </row>
    <row r="261" spans="1:2" x14ac:dyDescent="0.2">
      <c r="A261" s="14"/>
      <c r="B261" s="7"/>
    </row>
    <row r="262" spans="1:2" x14ac:dyDescent="0.2">
      <c r="A262" s="14"/>
      <c r="B262" s="7"/>
    </row>
    <row r="263" spans="1:2" x14ac:dyDescent="0.2">
      <c r="A263" s="14"/>
      <c r="B263" s="7"/>
    </row>
    <row r="264" spans="1:2" x14ac:dyDescent="0.2">
      <c r="A264" s="14"/>
      <c r="B264" s="7"/>
    </row>
    <row r="265" spans="1:2" x14ac:dyDescent="0.2">
      <c r="A265" s="14"/>
      <c r="B265" s="7"/>
    </row>
    <row r="266" spans="1:2" x14ac:dyDescent="0.2">
      <c r="A266" s="14"/>
      <c r="B266" s="7"/>
    </row>
    <row r="267" spans="1:2" x14ac:dyDescent="0.2">
      <c r="A267" s="14"/>
      <c r="B267" s="7"/>
    </row>
    <row r="268" spans="1:2" x14ac:dyDescent="0.2">
      <c r="A268" s="14"/>
      <c r="B268" s="7"/>
    </row>
    <row r="269" spans="1:2" x14ac:dyDescent="0.2">
      <c r="A269" s="14"/>
      <c r="B269" s="7"/>
    </row>
    <row r="270" spans="1:2" x14ac:dyDescent="0.2">
      <c r="A270" s="14"/>
      <c r="B270" s="7"/>
    </row>
    <row r="271" spans="1:2" x14ac:dyDescent="0.2">
      <c r="A271" s="14"/>
      <c r="B271" s="7"/>
    </row>
    <row r="272" spans="1:2" x14ac:dyDescent="0.2">
      <c r="A272" s="14"/>
      <c r="B272" s="7"/>
    </row>
    <row r="273" spans="1:2" x14ac:dyDescent="0.2">
      <c r="A273" s="14"/>
      <c r="B273" s="7"/>
    </row>
    <row r="274" spans="1:2" x14ac:dyDescent="0.2">
      <c r="A274" s="14"/>
      <c r="B274" s="7"/>
    </row>
    <row r="275" spans="1:2" x14ac:dyDescent="0.2">
      <c r="A275" s="14"/>
      <c r="B275" s="7"/>
    </row>
    <row r="276" spans="1:2" x14ac:dyDescent="0.2">
      <c r="A276" s="14"/>
      <c r="B276" s="7"/>
    </row>
    <row r="277" spans="1:2" x14ac:dyDescent="0.2">
      <c r="A277" s="14"/>
      <c r="B277" s="7"/>
    </row>
    <row r="278" spans="1:2" x14ac:dyDescent="0.2">
      <c r="A278" s="14"/>
      <c r="B278" s="7"/>
    </row>
    <row r="279" spans="1:2" x14ac:dyDescent="0.2">
      <c r="A279" s="14"/>
      <c r="B279" s="7"/>
    </row>
    <row r="280" spans="1:2" x14ac:dyDescent="0.2">
      <c r="A280" s="14"/>
      <c r="B280" s="7"/>
    </row>
    <row r="281" spans="1:2" x14ac:dyDescent="0.2">
      <c r="A281" s="14"/>
      <c r="B281" s="7"/>
    </row>
    <row r="282" spans="1:2" x14ac:dyDescent="0.2">
      <c r="A282" s="14"/>
      <c r="B282" s="7"/>
    </row>
    <row r="283" spans="1:2" x14ac:dyDescent="0.2">
      <c r="A283" s="14"/>
      <c r="B283" s="7"/>
    </row>
    <row r="284" spans="1:2" x14ac:dyDescent="0.2">
      <c r="A284" s="14"/>
      <c r="B284" s="7"/>
    </row>
    <row r="285" spans="1:2" x14ac:dyDescent="0.2">
      <c r="A285" s="14"/>
      <c r="B285" s="7"/>
    </row>
    <row r="286" spans="1:2" x14ac:dyDescent="0.2">
      <c r="A286" s="14"/>
      <c r="B286" s="7"/>
    </row>
    <row r="287" spans="1:2" x14ac:dyDescent="0.2">
      <c r="A287" s="14"/>
      <c r="B287" s="7"/>
    </row>
    <row r="288" spans="1:2" x14ac:dyDescent="0.2">
      <c r="A288" s="14"/>
      <c r="B288" s="7"/>
    </row>
    <row r="289" spans="1:2" x14ac:dyDescent="0.2">
      <c r="A289" s="14"/>
      <c r="B289" s="7"/>
    </row>
    <row r="290" spans="1:2" x14ac:dyDescent="0.2">
      <c r="A290" s="14"/>
      <c r="B290" s="7"/>
    </row>
    <row r="291" spans="1:2" x14ac:dyDescent="0.2">
      <c r="A291" s="14"/>
      <c r="B291" s="7"/>
    </row>
    <row r="292" spans="1:2" x14ac:dyDescent="0.2">
      <c r="A292" s="14"/>
      <c r="B292" s="7"/>
    </row>
    <row r="293" spans="1:2" x14ac:dyDescent="0.2">
      <c r="A293" s="14"/>
      <c r="B293" s="7"/>
    </row>
    <row r="294" spans="1:2" x14ac:dyDescent="0.2">
      <c r="A294" s="14"/>
      <c r="B294" s="7"/>
    </row>
    <row r="295" spans="1:2" x14ac:dyDescent="0.2">
      <c r="A295" s="14"/>
      <c r="B295" s="7"/>
    </row>
    <row r="296" spans="1:2" x14ac:dyDescent="0.2">
      <c r="A296" s="14"/>
      <c r="B296" s="7"/>
    </row>
    <row r="297" spans="1:2" x14ac:dyDescent="0.2">
      <c r="A297" s="14"/>
      <c r="B297" s="7"/>
    </row>
    <row r="298" spans="1:2" x14ac:dyDescent="0.2">
      <c r="A298" s="14"/>
      <c r="B298" s="7"/>
    </row>
    <row r="299" spans="1:2" x14ac:dyDescent="0.2">
      <c r="A299" s="14"/>
      <c r="B299" s="7"/>
    </row>
    <row r="300" spans="1:2" x14ac:dyDescent="0.2">
      <c r="A300" s="14"/>
      <c r="B300" s="7"/>
    </row>
    <row r="301" spans="1:2" x14ac:dyDescent="0.2">
      <c r="A301" s="14"/>
      <c r="B301" s="7"/>
    </row>
    <row r="302" spans="1:2" x14ac:dyDescent="0.2">
      <c r="A302" s="14"/>
      <c r="B302" s="7"/>
    </row>
    <row r="303" spans="1:2" x14ac:dyDescent="0.2">
      <c r="A303" s="14"/>
      <c r="B303" s="7"/>
    </row>
    <row r="304" spans="1:2" x14ac:dyDescent="0.2">
      <c r="A304" s="14"/>
      <c r="B304" s="7"/>
    </row>
    <row r="305" spans="1:2" x14ac:dyDescent="0.2">
      <c r="A305" s="14"/>
      <c r="B305" s="7"/>
    </row>
    <row r="306" spans="1:2" x14ac:dyDescent="0.2">
      <c r="A306" s="14"/>
      <c r="B306" s="7"/>
    </row>
    <row r="307" spans="1:2" x14ac:dyDescent="0.2">
      <c r="A307" s="14"/>
      <c r="B307" s="7"/>
    </row>
    <row r="308" spans="1:2" x14ac:dyDescent="0.2">
      <c r="A308" s="14"/>
      <c r="B308" s="7"/>
    </row>
    <row r="309" spans="1:2" x14ac:dyDescent="0.2">
      <c r="A309" s="14"/>
      <c r="B309" s="7"/>
    </row>
    <row r="310" spans="1:2" x14ac:dyDescent="0.2">
      <c r="A310" s="14"/>
      <c r="B310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A7327-E76A-1642-9540-F9C247D4A196}">
  <sheetPr>
    <pageSetUpPr fitToPage="1"/>
  </sheetPr>
  <dimension ref="A1:F35"/>
  <sheetViews>
    <sheetView zoomScale="120" zoomScaleNormal="120" workbookViewId="0">
      <selection activeCell="F19" sqref="F19"/>
    </sheetView>
  </sheetViews>
  <sheetFormatPr baseColWidth="10" defaultColWidth="11.1640625" defaultRowHeight="25" customHeight="1" x14ac:dyDescent="0.2"/>
  <cols>
    <col min="1" max="1" width="28.6640625" style="3" customWidth="1"/>
    <col min="2" max="3" width="17.33203125" style="3" customWidth="1"/>
    <col min="4" max="4" width="18.5" style="3" customWidth="1"/>
    <col min="5" max="5" width="13.6640625" customWidth="1"/>
    <col min="6" max="6" width="15.6640625" customWidth="1"/>
  </cols>
  <sheetData>
    <row r="1" spans="1:6" ht="25" customHeight="1" x14ac:dyDescent="0.2">
      <c r="A1" s="9" t="s">
        <v>368</v>
      </c>
      <c r="B1" s="9" t="s">
        <v>370</v>
      </c>
      <c r="C1" s="9" t="s">
        <v>371</v>
      </c>
      <c r="D1" s="9" t="s">
        <v>624</v>
      </c>
      <c r="E1" s="9" t="s">
        <v>372</v>
      </c>
      <c r="F1" s="9" t="s">
        <v>373</v>
      </c>
    </row>
    <row r="2" spans="1:6" ht="25" customHeight="1" x14ac:dyDescent="0.2">
      <c r="A2" s="4" t="s">
        <v>369</v>
      </c>
      <c r="B2" s="5">
        <v>0.75</v>
      </c>
      <c r="C2" s="5">
        <v>0.38</v>
      </c>
      <c r="D2" s="5">
        <v>0</v>
      </c>
      <c r="E2" s="5">
        <v>0.1</v>
      </c>
      <c r="F2" s="6">
        <f>SUM(B2:E2)</f>
        <v>1.23</v>
      </c>
    </row>
    <row r="3" spans="1:6" ht="25" customHeight="1" x14ac:dyDescent="0.2">
      <c r="A3" s="4" t="s">
        <v>376</v>
      </c>
      <c r="B3" s="5">
        <v>0.75</v>
      </c>
      <c r="C3" s="5">
        <v>0.75</v>
      </c>
      <c r="D3" s="5">
        <v>0</v>
      </c>
      <c r="E3" s="5">
        <v>0.1</v>
      </c>
      <c r="F3" s="6">
        <f t="shared" ref="F3:F35" si="0">SUM(B3:E3)</f>
        <v>1.6</v>
      </c>
    </row>
    <row r="4" spans="1:6" ht="25" customHeight="1" x14ac:dyDescent="0.2">
      <c r="A4" s="4" t="s">
        <v>374</v>
      </c>
      <c r="B4" s="5">
        <v>0.67</v>
      </c>
      <c r="C4" s="5">
        <v>0.13</v>
      </c>
      <c r="D4" s="5">
        <v>0</v>
      </c>
      <c r="E4" s="5">
        <v>0.1</v>
      </c>
      <c r="F4" s="6">
        <f t="shared" si="0"/>
        <v>0.9</v>
      </c>
    </row>
    <row r="5" spans="1:6" ht="25" customHeight="1" x14ac:dyDescent="0.2">
      <c r="A5" s="4" t="s">
        <v>375</v>
      </c>
      <c r="B5" s="5">
        <v>0.42</v>
      </c>
      <c r="C5" s="5">
        <v>7.0000000000000007E-2</v>
      </c>
      <c r="D5" s="5">
        <v>0</v>
      </c>
      <c r="E5" s="5">
        <v>0.1</v>
      </c>
      <c r="F5" s="6">
        <f t="shared" si="0"/>
        <v>0.59</v>
      </c>
    </row>
    <row r="6" spans="1:6" ht="25" customHeight="1" x14ac:dyDescent="0.2">
      <c r="A6" s="4" t="s">
        <v>397</v>
      </c>
      <c r="B6" s="5">
        <v>1.1000000000000001</v>
      </c>
      <c r="C6" s="5">
        <v>0</v>
      </c>
      <c r="D6" s="5">
        <v>2.02</v>
      </c>
      <c r="E6" s="5">
        <v>0.1</v>
      </c>
      <c r="F6" s="6">
        <f t="shared" si="0"/>
        <v>3.22</v>
      </c>
    </row>
    <row r="7" spans="1:6" ht="25" customHeight="1" x14ac:dyDescent="0.2">
      <c r="A7" s="4" t="s">
        <v>398</v>
      </c>
      <c r="B7" s="5">
        <v>1.1000000000000001</v>
      </c>
      <c r="C7" s="5">
        <v>0</v>
      </c>
      <c r="D7" s="5">
        <v>1.32</v>
      </c>
      <c r="E7" s="5">
        <v>0.1</v>
      </c>
      <c r="F7" s="6">
        <f t="shared" si="0"/>
        <v>2.52</v>
      </c>
    </row>
    <row r="8" spans="1:6" ht="25" customHeight="1" x14ac:dyDescent="0.2">
      <c r="A8" s="4" t="s">
        <v>399</v>
      </c>
      <c r="B8" s="5">
        <v>0.65</v>
      </c>
      <c r="C8" s="5">
        <v>0</v>
      </c>
      <c r="D8" s="5">
        <v>1.01</v>
      </c>
      <c r="E8" s="5">
        <v>0.1</v>
      </c>
      <c r="F8" s="6">
        <f t="shared" si="0"/>
        <v>1.7600000000000002</v>
      </c>
    </row>
    <row r="9" spans="1:6" ht="25" customHeight="1" x14ac:dyDescent="0.2">
      <c r="A9" s="4" t="s">
        <v>400</v>
      </c>
      <c r="B9" s="5">
        <v>0.65</v>
      </c>
      <c r="C9" s="5">
        <v>0</v>
      </c>
      <c r="D9" s="5">
        <v>0.66</v>
      </c>
      <c r="E9" s="5">
        <v>0.1</v>
      </c>
      <c r="F9" s="6">
        <f t="shared" si="0"/>
        <v>1.4100000000000001</v>
      </c>
    </row>
    <row r="10" spans="1:6" ht="25" customHeight="1" x14ac:dyDescent="0.2">
      <c r="A10" s="4" t="s">
        <v>393</v>
      </c>
      <c r="B10" s="5">
        <v>0.67</v>
      </c>
      <c r="C10" s="5">
        <v>0.38</v>
      </c>
      <c r="D10" s="5">
        <v>0</v>
      </c>
      <c r="E10" s="5">
        <v>0.1</v>
      </c>
      <c r="F10" s="6">
        <f t="shared" si="0"/>
        <v>1.1500000000000001</v>
      </c>
    </row>
    <row r="11" spans="1:6" ht="25" customHeight="1" x14ac:dyDescent="0.2">
      <c r="A11" s="4" t="s">
        <v>401</v>
      </c>
      <c r="B11" s="5">
        <v>0.75</v>
      </c>
      <c r="C11" s="5">
        <v>1.75</v>
      </c>
      <c r="D11" s="5">
        <v>0</v>
      </c>
      <c r="E11" s="5">
        <v>0.1</v>
      </c>
      <c r="F11" s="6">
        <f t="shared" si="0"/>
        <v>2.6</v>
      </c>
    </row>
    <row r="12" spans="1:6" ht="25" customHeight="1" x14ac:dyDescent="0.2">
      <c r="A12" s="4" t="s">
        <v>402</v>
      </c>
      <c r="B12" s="5">
        <v>0.75</v>
      </c>
      <c r="C12" s="5">
        <v>3.5</v>
      </c>
      <c r="D12" s="5">
        <v>0</v>
      </c>
      <c r="E12" s="5">
        <v>0.1</v>
      </c>
      <c r="F12" s="6">
        <f t="shared" si="0"/>
        <v>4.3499999999999996</v>
      </c>
    </row>
    <row r="13" spans="1:6" ht="25" customHeight="1" x14ac:dyDescent="0.2">
      <c r="A13" s="4" t="s">
        <v>403</v>
      </c>
      <c r="B13" s="5">
        <v>0.75</v>
      </c>
      <c r="C13" s="5">
        <v>0.38</v>
      </c>
      <c r="D13" s="5">
        <v>0</v>
      </c>
      <c r="E13" s="5">
        <v>0.1</v>
      </c>
      <c r="F13" s="6">
        <f t="shared" si="0"/>
        <v>1.23</v>
      </c>
    </row>
    <row r="14" spans="1:6" ht="25" customHeight="1" x14ac:dyDescent="0.2">
      <c r="A14" s="4" t="s">
        <v>410</v>
      </c>
      <c r="B14" s="5"/>
      <c r="C14" s="5">
        <v>0.1</v>
      </c>
      <c r="D14" s="5">
        <v>0</v>
      </c>
      <c r="E14" s="5">
        <v>0.1</v>
      </c>
      <c r="F14" s="6">
        <f t="shared" si="0"/>
        <v>0.2</v>
      </c>
    </row>
    <row r="15" spans="1:6" ht="25" customHeight="1" x14ac:dyDescent="0.2">
      <c r="A15" s="4" t="s">
        <v>420</v>
      </c>
      <c r="B15" s="5">
        <v>1.01</v>
      </c>
      <c r="C15" s="5">
        <v>1.75</v>
      </c>
      <c r="D15" s="5">
        <v>0</v>
      </c>
      <c r="E15" s="5">
        <v>0.1</v>
      </c>
      <c r="F15" s="6">
        <f>SUM(B15:E15)</f>
        <v>2.86</v>
      </c>
    </row>
    <row r="16" spans="1:6" ht="25" customHeight="1" x14ac:dyDescent="0.2">
      <c r="A16" s="4" t="s">
        <v>1146</v>
      </c>
      <c r="B16" s="5">
        <v>0</v>
      </c>
      <c r="C16" s="5">
        <v>0</v>
      </c>
      <c r="D16" s="5">
        <v>2</v>
      </c>
      <c r="E16" s="5">
        <v>0.1</v>
      </c>
      <c r="F16" s="6">
        <f>SUM(B16:E16)</f>
        <v>2.1</v>
      </c>
    </row>
    <row r="17" spans="1:6" ht="25" customHeight="1" x14ac:dyDescent="0.2">
      <c r="A17" s="4" t="s">
        <v>582</v>
      </c>
      <c r="B17" s="5">
        <v>1</v>
      </c>
      <c r="C17" s="5">
        <v>0</v>
      </c>
      <c r="D17" s="5">
        <v>4.3600000000000003</v>
      </c>
      <c r="E17" s="5">
        <v>0.1</v>
      </c>
      <c r="F17" s="6">
        <f>SUM(B17:E17)</f>
        <v>5.46</v>
      </c>
    </row>
    <row r="18" spans="1:6" ht="25" customHeight="1" x14ac:dyDescent="0.2">
      <c r="A18" s="4" t="s">
        <v>1071</v>
      </c>
      <c r="B18" s="5">
        <v>0.42</v>
      </c>
      <c r="C18" s="5">
        <v>0.16</v>
      </c>
      <c r="D18" s="5">
        <v>0</v>
      </c>
      <c r="E18" s="5">
        <v>0.1</v>
      </c>
      <c r="F18" s="6">
        <f>SUM(B18:E18)</f>
        <v>0.67999999999999994</v>
      </c>
    </row>
    <row r="19" spans="1:6" ht="25" customHeight="1" x14ac:dyDescent="0.2">
      <c r="A19" s="4" t="s">
        <v>1292</v>
      </c>
      <c r="B19" s="5">
        <v>0.67</v>
      </c>
      <c r="C19" s="5">
        <v>3.9</v>
      </c>
      <c r="D19" s="5"/>
      <c r="E19" s="5">
        <v>0.1</v>
      </c>
      <c r="F19" s="6">
        <f t="shared" si="0"/>
        <v>4.67</v>
      </c>
    </row>
    <row r="20" spans="1:6" ht="25" customHeight="1" x14ac:dyDescent="0.2">
      <c r="A20" s="4" t="s">
        <v>617</v>
      </c>
      <c r="B20" s="5">
        <v>0.75</v>
      </c>
      <c r="C20" s="5">
        <v>1.75</v>
      </c>
      <c r="D20" s="5">
        <v>1.5</v>
      </c>
      <c r="E20" s="5">
        <v>0.1</v>
      </c>
      <c r="F20" s="6">
        <f t="shared" si="0"/>
        <v>4.0999999999999996</v>
      </c>
    </row>
    <row r="21" spans="1:6" ht="25" customHeight="1" x14ac:dyDescent="0.2">
      <c r="A21" s="4" t="s">
        <v>618</v>
      </c>
      <c r="B21" s="5">
        <v>0.75</v>
      </c>
      <c r="C21" s="5">
        <v>3.5</v>
      </c>
      <c r="D21" s="5">
        <v>3</v>
      </c>
      <c r="E21" s="5">
        <v>0.1</v>
      </c>
      <c r="F21" s="6">
        <f t="shared" si="0"/>
        <v>7.35</v>
      </c>
    </row>
    <row r="22" spans="1:6" ht="25" customHeight="1" x14ac:dyDescent="0.2">
      <c r="A22" s="4" t="s">
        <v>619</v>
      </c>
      <c r="B22" s="5">
        <v>0.75</v>
      </c>
      <c r="C22" s="5">
        <v>0.38</v>
      </c>
      <c r="D22" s="5">
        <v>1.5</v>
      </c>
      <c r="E22" s="5">
        <v>0.1</v>
      </c>
      <c r="F22" s="6">
        <f t="shared" si="0"/>
        <v>2.73</v>
      </c>
    </row>
    <row r="23" spans="1:6" ht="25" customHeight="1" x14ac:dyDescent="0.2">
      <c r="A23" s="4" t="s">
        <v>620</v>
      </c>
      <c r="B23" s="5">
        <v>0.75</v>
      </c>
      <c r="C23" s="5">
        <v>0.25</v>
      </c>
      <c r="D23" s="5">
        <v>1.5</v>
      </c>
      <c r="E23" s="5">
        <v>0.1</v>
      </c>
      <c r="F23" s="6">
        <f t="shared" si="0"/>
        <v>2.6</v>
      </c>
    </row>
    <row r="24" spans="1:6" ht="25" customHeight="1" x14ac:dyDescent="0.2">
      <c r="A24" s="4" t="s">
        <v>621</v>
      </c>
      <c r="B24" s="5">
        <v>0.75</v>
      </c>
      <c r="C24" s="5">
        <v>0.75</v>
      </c>
      <c r="D24" s="5">
        <v>0.75</v>
      </c>
      <c r="E24" s="5">
        <v>0.1</v>
      </c>
      <c r="F24" s="6">
        <f t="shared" si="0"/>
        <v>2.35</v>
      </c>
    </row>
    <row r="25" spans="1:6" ht="25" customHeight="1" x14ac:dyDescent="0.2">
      <c r="A25" s="4" t="s">
        <v>622</v>
      </c>
      <c r="B25" s="5">
        <v>0.75</v>
      </c>
      <c r="C25" s="5">
        <v>0.25</v>
      </c>
      <c r="D25" s="5">
        <v>0.75</v>
      </c>
      <c r="E25" s="5">
        <v>0.1</v>
      </c>
      <c r="F25" s="6">
        <f t="shared" si="0"/>
        <v>1.85</v>
      </c>
    </row>
    <row r="26" spans="1:6" ht="25" customHeight="1" x14ac:dyDescent="0.2">
      <c r="A26" s="4" t="s">
        <v>623</v>
      </c>
      <c r="B26" s="5">
        <v>0.75</v>
      </c>
      <c r="C26" s="5">
        <v>0.75</v>
      </c>
      <c r="D26" s="5">
        <v>0.75</v>
      </c>
      <c r="E26" s="5">
        <v>0.1</v>
      </c>
      <c r="F26" s="6">
        <f t="shared" si="0"/>
        <v>2.35</v>
      </c>
    </row>
    <row r="27" spans="1:6" ht="25" customHeight="1" x14ac:dyDescent="0.2">
      <c r="A27" s="4" t="s">
        <v>627</v>
      </c>
      <c r="B27" s="80">
        <v>0.75</v>
      </c>
      <c r="C27" s="80">
        <v>1.75</v>
      </c>
      <c r="D27" s="80"/>
      <c r="E27" s="79">
        <v>0.1</v>
      </c>
      <c r="F27" s="6">
        <f t="shared" si="0"/>
        <v>2.6</v>
      </c>
    </row>
    <row r="28" spans="1:6" ht="25" customHeight="1" x14ac:dyDescent="0.2">
      <c r="A28" s="4" t="s">
        <v>1270</v>
      </c>
      <c r="B28" s="80">
        <v>0.67</v>
      </c>
      <c r="C28" s="80">
        <v>2.2400000000000002</v>
      </c>
      <c r="D28" s="80"/>
      <c r="E28" s="79">
        <v>0.1</v>
      </c>
      <c r="F28" s="6">
        <f t="shared" si="0"/>
        <v>3.0100000000000002</v>
      </c>
    </row>
    <row r="29" spans="1:6" ht="25" customHeight="1" x14ac:dyDescent="0.2">
      <c r="A29" s="4" t="s">
        <v>1070</v>
      </c>
      <c r="B29" s="80">
        <v>0.42</v>
      </c>
      <c r="C29" s="80">
        <v>0.2</v>
      </c>
      <c r="D29" s="80"/>
      <c r="E29" s="79">
        <v>0.1</v>
      </c>
      <c r="F29" s="6">
        <f t="shared" si="0"/>
        <v>0.72</v>
      </c>
    </row>
    <row r="30" spans="1:6" ht="25" customHeight="1" x14ac:dyDescent="0.2">
      <c r="A30" s="4" t="s">
        <v>1146</v>
      </c>
      <c r="B30" s="80"/>
      <c r="C30" s="80"/>
      <c r="D30" s="80">
        <v>1.9</v>
      </c>
      <c r="E30" s="79">
        <v>0.1</v>
      </c>
      <c r="F30" s="6">
        <f t="shared" si="0"/>
        <v>2</v>
      </c>
    </row>
    <row r="31" spans="1:6" ht="25" customHeight="1" x14ac:dyDescent="0.2">
      <c r="A31" s="4"/>
      <c r="B31" s="80"/>
      <c r="C31" s="80"/>
      <c r="D31" s="80"/>
      <c r="E31" s="79"/>
      <c r="F31" s="6">
        <f t="shared" si="0"/>
        <v>0</v>
      </c>
    </row>
    <row r="32" spans="1:6" ht="25" customHeight="1" x14ac:dyDescent="0.2">
      <c r="A32" s="4"/>
      <c r="B32" s="80"/>
      <c r="C32" s="80"/>
      <c r="D32" s="80"/>
      <c r="E32" s="79"/>
      <c r="F32" s="6">
        <f t="shared" si="0"/>
        <v>0</v>
      </c>
    </row>
    <row r="33" spans="1:6" ht="25" customHeight="1" x14ac:dyDescent="0.2">
      <c r="A33" s="4"/>
      <c r="B33" s="80"/>
      <c r="C33" s="80"/>
      <c r="D33" s="80"/>
      <c r="E33" s="79"/>
      <c r="F33" s="6">
        <f t="shared" si="0"/>
        <v>0</v>
      </c>
    </row>
    <row r="34" spans="1:6" ht="25" customHeight="1" x14ac:dyDescent="0.2">
      <c r="A34" s="4"/>
      <c r="B34" s="80"/>
      <c r="C34" s="80"/>
      <c r="D34" s="80"/>
      <c r="E34" s="79"/>
      <c r="F34" s="6">
        <f t="shared" si="0"/>
        <v>0</v>
      </c>
    </row>
    <row r="35" spans="1:6" ht="25" customHeight="1" x14ac:dyDescent="0.2">
      <c r="A35" s="4"/>
      <c r="B35" s="80"/>
      <c r="C35" s="80"/>
      <c r="D35" s="80"/>
      <c r="E35" s="79"/>
      <c r="F35" s="6">
        <f t="shared" si="0"/>
        <v>0</v>
      </c>
    </row>
  </sheetData>
  <pageMargins left="0.7" right="0.7" top="0.75" bottom="0.75" header="0.3" footer="0.3"/>
  <pageSetup scale="7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4AD7E-299A-7341-9971-79CE8B716470}">
  <dimension ref="A1:W543"/>
  <sheetViews>
    <sheetView tabSelected="1" zoomScale="150" zoomScaleNormal="150" workbookViewId="0">
      <pane ySplit="1" topLeftCell="A345" activePane="bottomLeft" state="frozen"/>
      <selection pane="bottomLeft" activeCell="J131" sqref="J131"/>
    </sheetView>
  </sheetViews>
  <sheetFormatPr baseColWidth="10" defaultColWidth="11.1640625" defaultRowHeight="21" customHeight="1" x14ac:dyDescent="0.2"/>
  <cols>
    <col min="1" max="1" width="55.33203125" style="46" customWidth="1"/>
    <col min="2" max="2" width="9.33203125" style="46" customWidth="1"/>
    <col min="3" max="3" width="24.5" style="46" customWidth="1"/>
    <col min="4" max="4" width="6.5" style="46" customWidth="1"/>
    <col min="5" max="5" width="16.33203125" style="46" customWidth="1"/>
    <col min="6" max="6" width="13.5" style="46" customWidth="1"/>
    <col min="7" max="7" width="9.5" style="39" customWidth="1"/>
    <col min="8" max="8" width="12" style="47" customWidth="1"/>
    <col min="9" max="9" width="8" style="47" customWidth="1"/>
    <col min="10" max="10" width="10.1640625" style="48" customWidth="1"/>
    <col min="11" max="11" width="7.33203125" style="48" customWidth="1"/>
    <col min="12" max="12" width="10.83203125" style="49" customWidth="1"/>
    <col min="13" max="13" width="11.6640625" style="39" customWidth="1"/>
    <col min="14" max="14" width="7.83203125" style="48" hidden="1" customWidth="1"/>
    <col min="15" max="15" width="8.6640625" style="48" hidden="1" customWidth="1"/>
    <col min="16" max="16" width="8.5" style="48" hidden="1" customWidth="1"/>
    <col min="17" max="17" width="10.33203125" style="48" hidden="1" customWidth="1"/>
    <col min="18" max="18" width="9" style="48" hidden="1" customWidth="1"/>
    <col min="19" max="19" width="11.1640625" style="48" customWidth="1"/>
    <col min="20" max="20" width="12.33203125" style="48" customWidth="1"/>
    <col min="21" max="21" width="11.1640625" style="48" customWidth="1"/>
    <col min="22" max="22" width="13" style="39" customWidth="1"/>
    <col min="23" max="16384" width="11.1640625" style="39"/>
  </cols>
  <sheetData>
    <row r="1" spans="1:23" s="31" customFormat="1" ht="32" customHeight="1" x14ac:dyDescent="0.2">
      <c r="A1" s="26" t="s">
        <v>361</v>
      </c>
      <c r="B1" s="26" t="s">
        <v>362</v>
      </c>
      <c r="C1" s="26" t="s">
        <v>380</v>
      </c>
      <c r="D1" s="26" t="s">
        <v>383</v>
      </c>
      <c r="E1" s="26" t="s">
        <v>387</v>
      </c>
      <c r="F1" s="26" t="s">
        <v>379</v>
      </c>
      <c r="G1" s="27" t="s">
        <v>381</v>
      </c>
      <c r="H1" s="28" t="s">
        <v>382</v>
      </c>
      <c r="I1" s="28" t="s">
        <v>461</v>
      </c>
      <c r="J1" s="27" t="s">
        <v>363</v>
      </c>
      <c r="K1" s="27" t="s">
        <v>364</v>
      </c>
      <c r="L1" s="29" t="s">
        <v>365</v>
      </c>
      <c r="M1" s="27" t="s">
        <v>366</v>
      </c>
      <c r="N1" s="30">
        <v>0.25</v>
      </c>
      <c r="O1" s="30">
        <v>0.3</v>
      </c>
      <c r="P1" s="30">
        <v>0.35</v>
      </c>
      <c r="Q1" s="30">
        <v>0.4</v>
      </c>
      <c r="R1" s="30">
        <v>0.45</v>
      </c>
      <c r="S1" s="30" t="s">
        <v>389</v>
      </c>
      <c r="T1" s="30" t="s">
        <v>390</v>
      </c>
      <c r="U1" s="30" t="s">
        <v>391</v>
      </c>
      <c r="V1" s="31" t="s">
        <v>392</v>
      </c>
      <c r="W1" s="31" t="s">
        <v>1061</v>
      </c>
    </row>
    <row r="2" spans="1:23" ht="21" customHeight="1" x14ac:dyDescent="0.2">
      <c r="A2" s="19" t="s">
        <v>506</v>
      </c>
      <c r="B2" s="19" t="s">
        <v>174</v>
      </c>
      <c r="C2" s="20" t="s">
        <v>51</v>
      </c>
      <c r="D2" s="32" t="s">
        <v>384</v>
      </c>
      <c r="E2" s="20" t="s">
        <v>388</v>
      </c>
      <c r="F2" s="20" t="s">
        <v>369</v>
      </c>
      <c r="G2" s="33">
        <v>20</v>
      </c>
      <c r="H2" s="34">
        <f>VLOOKUP($C2,'Raw Cost'!$A$1:$B$484,2,FALSE)/G2</f>
        <v>1.3</v>
      </c>
      <c r="I2" s="34">
        <f t="shared" ref="I2:I33" si="0">H2/16</f>
        <v>8.1250000000000003E-2</v>
      </c>
      <c r="J2" s="35">
        <v>20</v>
      </c>
      <c r="K2" s="35">
        <v>0.25</v>
      </c>
      <c r="L2" s="36">
        <f>VLOOKUP($F2,'Packaging Cost'!$A$1:$F$43,6,FALSE)</f>
        <v>1.23</v>
      </c>
      <c r="M2" s="37">
        <f>IF($E2="Snakpak",(($J2*H2)+($K2*'Labor Cost'!$A$2)+L2)+2.25,($J2*H2)+($K2*'Labor Cost'!$A$2)+L2+1)</f>
        <v>34.104999999999997</v>
      </c>
      <c r="N2" s="38">
        <f t="shared" ref="N2:N33" si="1">IF($D2="No",$M2*1.25,($M2*1.25)+15)</f>
        <v>42.631249999999994</v>
      </c>
      <c r="O2" s="38">
        <f t="shared" ref="O2:O33" si="2">IF($D2="No",$M2*1.3,($M2*1.3)+15)</f>
        <v>44.336500000000001</v>
      </c>
      <c r="P2" s="38">
        <f t="shared" ref="P2:P33" si="3">IF($D2="No",$M2*1.35,($M2*1.35)+15)</f>
        <v>46.04175</v>
      </c>
      <c r="Q2" s="38">
        <f t="shared" ref="Q2:Q33" si="4">IF($D2="No",$M2*1.4,($M2*1.4)+15)</f>
        <v>47.746999999999993</v>
      </c>
      <c r="R2" s="38">
        <f t="shared" ref="R2:R33" si="5">IF($D2="No",$M2*1.45,($M2*1.45)+15)</f>
        <v>49.452249999999992</v>
      </c>
      <c r="S2" s="38">
        <f t="shared" ref="S2:S33" si="6">MROUND(N2,0.25)</f>
        <v>42.75</v>
      </c>
      <c r="T2" s="38">
        <f t="shared" ref="T2:T33" si="7">MROUND(O2,0.25)</f>
        <v>44.25</v>
      </c>
      <c r="U2" s="38">
        <f t="shared" ref="U2:U33" si="8">MROUND(P2,0.25)</f>
        <v>46</v>
      </c>
      <c r="V2" s="38">
        <f t="shared" ref="V2:V33" si="9">MROUND(Q2,0.25)</f>
        <v>47.75</v>
      </c>
      <c r="W2" s="38">
        <f t="shared" ref="W2:W33" si="10">MROUND(R2,0.25)</f>
        <v>49.5</v>
      </c>
    </row>
    <row r="3" spans="1:23" ht="21" customHeight="1" x14ac:dyDescent="0.2">
      <c r="A3" s="19" t="s">
        <v>503</v>
      </c>
      <c r="B3" s="19" t="s">
        <v>175</v>
      </c>
      <c r="C3" s="20" t="s">
        <v>0</v>
      </c>
      <c r="D3" s="32" t="s">
        <v>384</v>
      </c>
      <c r="E3" s="20" t="s">
        <v>388</v>
      </c>
      <c r="F3" s="20" t="s">
        <v>620</v>
      </c>
      <c r="G3" s="33">
        <v>29</v>
      </c>
      <c r="H3" s="34">
        <f>VLOOKUP($C3,'Raw Cost'!$A$1:$B$484,2,FALSE)/G3</f>
        <v>1.3103448275862069</v>
      </c>
      <c r="I3" s="34">
        <f t="shared" si="0"/>
        <v>8.1896551724137928E-2</v>
      </c>
      <c r="J3" s="35">
        <v>20</v>
      </c>
      <c r="K3" s="35">
        <v>0.25</v>
      </c>
      <c r="L3" s="36">
        <f>VLOOKUP($F3,'Packaging Cost'!$A$1:$F$43,6,FALSE)</f>
        <v>2.6</v>
      </c>
      <c r="M3" s="37">
        <f>IF($E3="Snakpak",(($J3*H3)+($K3*'Labor Cost'!$A$2)+L3)+2.25,($J3*H3)+($K3*'Labor Cost'!$A$2)+L3+1)</f>
        <v>35.681896551724137</v>
      </c>
      <c r="N3" s="38">
        <f t="shared" si="1"/>
        <v>44.602370689655174</v>
      </c>
      <c r="O3" s="38">
        <f t="shared" si="2"/>
        <v>46.386465517241376</v>
      </c>
      <c r="P3" s="38">
        <f t="shared" si="3"/>
        <v>48.170560344827585</v>
      </c>
      <c r="Q3" s="38">
        <f t="shared" si="4"/>
        <v>49.954655172413787</v>
      </c>
      <c r="R3" s="38">
        <f t="shared" si="5"/>
        <v>51.738749999999996</v>
      </c>
      <c r="S3" s="38">
        <f t="shared" si="6"/>
        <v>44.5</v>
      </c>
      <c r="T3" s="38">
        <f t="shared" si="7"/>
        <v>46.5</v>
      </c>
      <c r="U3" s="38">
        <f t="shared" si="8"/>
        <v>48.25</v>
      </c>
      <c r="V3" s="38">
        <f t="shared" si="9"/>
        <v>50</v>
      </c>
      <c r="W3" s="38">
        <f t="shared" si="10"/>
        <v>51.75</v>
      </c>
    </row>
    <row r="4" spans="1:23" ht="21" customHeight="1" x14ac:dyDescent="0.2">
      <c r="A4" s="19" t="s">
        <v>1293</v>
      </c>
      <c r="B4" s="19" t="s">
        <v>1299</v>
      </c>
      <c r="C4" s="32" t="s">
        <v>0</v>
      </c>
      <c r="D4" s="20" t="s">
        <v>384</v>
      </c>
      <c r="E4" s="20" t="s">
        <v>388</v>
      </c>
      <c r="F4" s="20" t="s">
        <v>1292</v>
      </c>
      <c r="G4" s="33">
        <v>29</v>
      </c>
      <c r="H4" s="34">
        <f>VLOOKUP($C4,'Raw Cost'!$A$1:$B$484,2,FALSE)/G4</f>
        <v>1.3103448275862069</v>
      </c>
      <c r="I4" s="34">
        <f t="shared" si="0"/>
        <v>8.1896551724137928E-2</v>
      </c>
      <c r="J4" s="35">
        <v>10</v>
      </c>
      <c r="K4" s="35">
        <v>0.25</v>
      </c>
      <c r="L4" s="36">
        <f>VLOOKUP($F4,'Packaging Cost'!$A$1:$F$43,6,FALSE)</f>
        <v>4.67</v>
      </c>
      <c r="M4" s="37">
        <f>IF($E4="Snakpak",(($J4*H4)+($K4*'Labor Cost'!$A$2)+L4)+2.25,($J4*H4)+($K4*'Labor Cost'!$A$2)+L4+1)</f>
        <v>24.648448275862066</v>
      </c>
      <c r="N4" s="38">
        <f t="shared" si="1"/>
        <v>30.810560344827582</v>
      </c>
      <c r="O4" s="38">
        <f t="shared" si="2"/>
        <v>32.042982758620688</v>
      </c>
      <c r="P4" s="38">
        <f t="shared" si="3"/>
        <v>33.275405172413791</v>
      </c>
      <c r="Q4" s="38">
        <f t="shared" si="4"/>
        <v>34.507827586206886</v>
      </c>
      <c r="R4" s="38">
        <f t="shared" si="5"/>
        <v>35.740249999999996</v>
      </c>
      <c r="S4" s="38">
        <f t="shared" si="6"/>
        <v>30.75</v>
      </c>
      <c r="T4" s="38">
        <f t="shared" si="7"/>
        <v>32</v>
      </c>
      <c r="U4" s="38">
        <f t="shared" si="8"/>
        <v>33.25</v>
      </c>
      <c r="V4" s="38">
        <f t="shared" si="9"/>
        <v>34.5</v>
      </c>
      <c r="W4" s="38">
        <f t="shared" si="10"/>
        <v>35.75</v>
      </c>
    </row>
    <row r="5" spans="1:23" ht="21" customHeight="1" x14ac:dyDescent="0.2">
      <c r="A5" s="19" t="s">
        <v>494</v>
      </c>
      <c r="B5" s="19" t="s">
        <v>244</v>
      </c>
      <c r="C5" s="32" t="s">
        <v>0</v>
      </c>
      <c r="D5" s="20" t="s">
        <v>384</v>
      </c>
      <c r="E5" s="20" t="s">
        <v>388</v>
      </c>
      <c r="F5" s="20" t="s">
        <v>393</v>
      </c>
      <c r="G5" s="33">
        <v>29</v>
      </c>
      <c r="H5" s="34">
        <f>VLOOKUP($C5,'Raw Cost'!$A$1:$B$484,2,FALSE)/G5</f>
        <v>1.3103448275862069</v>
      </c>
      <c r="I5" s="34">
        <f t="shared" si="0"/>
        <v>8.1896551724137928E-2</v>
      </c>
      <c r="J5" s="35">
        <v>12</v>
      </c>
      <c r="K5" s="35">
        <v>0.25</v>
      </c>
      <c r="L5" s="36">
        <f>VLOOKUP($F5,'Packaging Cost'!$A$1:$F$43,6,FALSE)</f>
        <v>1.1500000000000001</v>
      </c>
      <c r="M5" s="37">
        <f>IF($E5="Snakpak",(($J5*H5)+($K5*'Labor Cost'!$A$2)+L5)+2.25,($J5*H5)+($K5*'Labor Cost'!$A$2)+L5+1)</f>
        <v>23.749137931034483</v>
      </c>
      <c r="N5" s="38">
        <f t="shared" si="1"/>
        <v>29.686422413793103</v>
      </c>
      <c r="O5" s="38">
        <f t="shared" si="2"/>
        <v>30.873879310344829</v>
      </c>
      <c r="P5" s="38">
        <f t="shared" si="3"/>
        <v>32.061336206896556</v>
      </c>
      <c r="Q5" s="38">
        <f t="shared" si="4"/>
        <v>33.248793103448271</v>
      </c>
      <c r="R5" s="38">
        <f t="shared" si="5"/>
        <v>34.436250000000001</v>
      </c>
      <c r="S5" s="38">
        <f t="shared" si="6"/>
        <v>29.75</v>
      </c>
      <c r="T5" s="38">
        <f t="shared" si="7"/>
        <v>30.75</v>
      </c>
      <c r="U5" s="38">
        <f t="shared" si="8"/>
        <v>32</v>
      </c>
      <c r="V5" s="38">
        <f t="shared" si="9"/>
        <v>33.25</v>
      </c>
      <c r="W5" s="38">
        <f t="shared" si="10"/>
        <v>34.5</v>
      </c>
    </row>
    <row r="6" spans="1:23" ht="21" customHeight="1" x14ac:dyDescent="0.2">
      <c r="A6" s="19" t="s">
        <v>504</v>
      </c>
      <c r="B6" s="19" t="s">
        <v>231</v>
      </c>
      <c r="C6" s="20" t="s">
        <v>1</v>
      </c>
      <c r="D6" s="32" t="s">
        <v>384</v>
      </c>
      <c r="E6" s="20" t="s">
        <v>388</v>
      </c>
      <c r="F6" s="20" t="s">
        <v>620</v>
      </c>
      <c r="G6" s="33">
        <v>29</v>
      </c>
      <c r="H6" s="34">
        <f>VLOOKUP($C6,'Raw Cost'!$A$1:$B$484,2,FALSE)/G6</f>
        <v>1.5517241379310345</v>
      </c>
      <c r="I6" s="34">
        <f t="shared" si="0"/>
        <v>9.6982758620689655E-2</v>
      </c>
      <c r="J6" s="35">
        <v>20</v>
      </c>
      <c r="K6" s="35">
        <v>0.25</v>
      </c>
      <c r="L6" s="36">
        <f>VLOOKUP($F6,'Packaging Cost'!$A$1:$F$43,6,FALSE)</f>
        <v>2.6</v>
      </c>
      <c r="M6" s="37">
        <f>IF($E6="Snakpak",(($J6*H6)+($K6*'Labor Cost'!$A$2)+L6)+2.25,($J6*H6)+($K6*'Labor Cost'!$A$2)+L6+1)</f>
        <v>40.509482758620692</v>
      </c>
      <c r="N6" s="38">
        <f t="shared" si="1"/>
        <v>50.636853448275865</v>
      </c>
      <c r="O6" s="38">
        <f t="shared" si="2"/>
        <v>52.662327586206899</v>
      </c>
      <c r="P6" s="38">
        <f t="shared" si="3"/>
        <v>54.687801724137941</v>
      </c>
      <c r="Q6" s="38">
        <f t="shared" si="4"/>
        <v>56.713275862068961</v>
      </c>
      <c r="R6" s="38">
        <f t="shared" si="5"/>
        <v>58.738750000000003</v>
      </c>
      <c r="S6" s="38">
        <f t="shared" si="6"/>
        <v>50.75</v>
      </c>
      <c r="T6" s="38">
        <f t="shared" si="7"/>
        <v>52.75</v>
      </c>
      <c r="U6" s="38">
        <f t="shared" si="8"/>
        <v>54.75</v>
      </c>
      <c r="V6" s="38">
        <f t="shared" si="9"/>
        <v>56.75</v>
      </c>
      <c r="W6" s="38">
        <f t="shared" si="10"/>
        <v>58.75</v>
      </c>
    </row>
    <row r="7" spans="1:23" ht="21" customHeight="1" x14ac:dyDescent="0.2">
      <c r="A7" s="19" t="s">
        <v>1291</v>
      </c>
      <c r="B7" s="19" t="s">
        <v>1290</v>
      </c>
      <c r="C7" s="32" t="s">
        <v>1</v>
      </c>
      <c r="D7" s="20" t="s">
        <v>384</v>
      </c>
      <c r="E7" s="20" t="s">
        <v>388</v>
      </c>
      <c r="F7" s="20" t="s">
        <v>1292</v>
      </c>
      <c r="G7" s="33">
        <v>29</v>
      </c>
      <c r="H7" s="34">
        <f>VLOOKUP($C7,'Raw Cost'!$A$1:$B$484,2,FALSE)/G7</f>
        <v>1.5517241379310345</v>
      </c>
      <c r="I7" s="34">
        <f t="shared" si="0"/>
        <v>9.6982758620689655E-2</v>
      </c>
      <c r="J7" s="35">
        <v>10</v>
      </c>
      <c r="K7" s="35">
        <v>0.25</v>
      </c>
      <c r="L7" s="36">
        <f>VLOOKUP($F7,'Packaging Cost'!$A$1:$F$43,6,FALSE)</f>
        <v>4.67</v>
      </c>
      <c r="M7" s="37">
        <f>IF($E7="Snakpak",(($J7*H7)+($K7*'Labor Cost'!$A$2)+L7)+2.25,($J7*H7)+($K7*'Labor Cost'!$A$2)+L7+1)</f>
        <v>27.062241379310343</v>
      </c>
      <c r="N7" s="38">
        <f t="shared" si="1"/>
        <v>33.827801724137927</v>
      </c>
      <c r="O7" s="38">
        <f t="shared" si="2"/>
        <v>35.18091379310345</v>
      </c>
      <c r="P7" s="38">
        <f t="shared" si="3"/>
        <v>36.534025862068965</v>
      </c>
      <c r="Q7" s="38">
        <f t="shared" si="4"/>
        <v>37.887137931034481</v>
      </c>
      <c r="R7" s="38">
        <f t="shared" si="5"/>
        <v>39.240249999999996</v>
      </c>
      <c r="S7" s="38">
        <f t="shared" si="6"/>
        <v>33.75</v>
      </c>
      <c r="T7" s="38">
        <f t="shared" si="7"/>
        <v>35.25</v>
      </c>
      <c r="U7" s="38">
        <f t="shared" si="8"/>
        <v>36.5</v>
      </c>
      <c r="V7" s="38">
        <f t="shared" si="9"/>
        <v>38</v>
      </c>
      <c r="W7" s="38">
        <f t="shared" si="10"/>
        <v>39.25</v>
      </c>
    </row>
    <row r="8" spans="1:23" ht="21" customHeight="1" x14ac:dyDescent="0.2">
      <c r="A8" s="19" t="s">
        <v>505</v>
      </c>
      <c r="B8" s="19" t="s">
        <v>247</v>
      </c>
      <c r="C8" s="32" t="s">
        <v>1</v>
      </c>
      <c r="D8" s="20" t="s">
        <v>384</v>
      </c>
      <c r="E8" s="20" t="s">
        <v>388</v>
      </c>
      <c r="F8" s="20" t="s">
        <v>619</v>
      </c>
      <c r="G8" s="33">
        <v>29</v>
      </c>
      <c r="H8" s="34">
        <f>VLOOKUP($C8,'Raw Cost'!$A$1:$B$484,2,FALSE)/G8</f>
        <v>1.5517241379310345</v>
      </c>
      <c r="I8" s="34">
        <f t="shared" si="0"/>
        <v>9.6982758620689655E-2</v>
      </c>
      <c r="J8" s="35">
        <v>12</v>
      </c>
      <c r="K8" s="35">
        <v>0.25</v>
      </c>
      <c r="L8" s="36">
        <f>VLOOKUP($F8,'Packaging Cost'!$A$1:$F$43,6,FALSE)</f>
        <v>2.73</v>
      </c>
      <c r="M8" s="37">
        <f>IF($E8="Snakpak",(($J8*H8)+($K8*'Labor Cost'!$A$2)+L8)+2.25,($J8*H8)+($K8*'Labor Cost'!$A$2)+L8+1)</f>
        <v>28.225689655172413</v>
      </c>
      <c r="N8" s="38">
        <f t="shared" si="1"/>
        <v>35.282112068965517</v>
      </c>
      <c r="O8" s="38">
        <f t="shared" si="2"/>
        <v>36.693396551724142</v>
      </c>
      <c r="P8" s="38">
        <f t="shared" si="3"/>
        <v>38.104681034482759</v>
      </c>
      <c r="Q8" s="38">
        <f t="shared" si="4"/>
        <v>39.515965517241376</v>
      </c>
      <c r="R8" s="38">
        <f t="shared" si="5"/>
        <v>40.927250000000001</v>
      </c>
      <c r="S8" s="38">
        <f t="shared" si="6"/>
        <v>35.25</v>
      </c>
      <c r="T8" s="38">
        <f t="shared" si="7"/>
        <v>36.75</v>
      </c>
      <c r="U8" s="38">
        <f t="shared" si="8"/>
        <v>38</v>
      </c>
      <c r="V8" s="38">
        <f t="shared" si="9"/>
        <v>39.5</v>
      </c>
      <c r="W8" s="38">
        <f t="shared" si="10"/>
        <v>41</v>
      </c>
    </row>
    <row r="9" spans="1:23" ht="21" customHeight="1" x14ac:dyDescent="0.2">
      <c r="A9" s="19" t="s">
        <v>574</v>
      </c>
      <c r="B9" s="19" t="s">
        <v>182</v>
      </c>
      <c r="C9" s="20" t="s">
        <v>436</v>
      </c>
      <c r="D9" s="32" t="s">
        <v>384</v>
      </c>
      <c r="E9" s="20" t="s">
        <v>388</v>
      </c>
      <c r="F9" s="20" t="s">
        <v>374</v>
      </c>
      <c r="G9" s="33">
        <v>18</v>
      </c>
      <c r="H9" s="34">
        <f>VLOOKUP($C9,'Raw Cost'!$A$1:$B$484,2,FALSE)/G9</f>
        <v>1.9444444444444444</v>
      </c>
      <c r="I9" s="34">
        <f t="shared" si="0"/>
        <v>0.12152777777777778</v>
      </c>
      <c r="J9" s="35">
        <v>10</v>
      </c>
      <c r="K9" s="35">
        <v>0.25</v>
      </c>
      <c r="L9" s="36">
        <f>VLOOKUP($F9,'Packaging Cost'!$A$1:$F$43,6,FALSE)</f>
        <v>0.9</v>
      </c>
      <c r="M9" s="37">
        <f>IF($E9="Snakpak",(($J9*H9)+($K9*'Labor Cost'!$A$2)+L9)+2.25,($J9*H9)+($K9*'Labor Cost'!$A$2)+L9+1)</f>
        <v>27.219444444444441</v>
      </c>
      <c r="N9" s="38">
        <f t="shared" si="1"/>
        <v>34.02430555555555</v>
      </c>
      <c r="O9" s="38">
        <f t="shared" si="2"/>
        <v>35.385277777777773</v>
      </c>
      <c r="P9" s="38">
        <f t="shared" si="3"/>
        <v>36.746249999999996</v>
      </c>
      <c r="Q9" s="38">
        <f t="shared" si="4"/>
        <v>38.107222222222212</v>
      </c>
      <c r="R9" s="38">
        <f t="shared" si="5"/>
        <v>39.468194444444435</v>
      </c>
      <c r="S9" s="38">
        <f t="shared" si="6"/>
        <v>34</v>
      </c>
      <c r="T9" s="38">
        <f t="shared" si="7"/>
        <v>35.5</v>
      </c>
      <c r="U9" s="38">
        <f t="shared" si="8"/>
        <v>36.75</v>
      </c>
      <c r="V9" s="38">
        <f t="shared" si="9"/>
        <v>38</v>
      </c>
      <c r="W9" s="38">
        <f t="shared" si="10"/>
        <v>39.5</v>
      </c>
    </row>
    <row r="10" spans="1:23" ht="21" customHeight="1" x14ac:dyDescent="0.2">
      <c r="A10" s="19" t="s">
        <v>502</v>
      </c>
      <c r="B10" s="19" t="s">
        <v>1300</v>
      </c>
      <c r="C10" s="20" t="s">
        <v>2</v>
      </c>
      <c r="D10" s="32" t="s">
        <v>384</v>
      </c>
      <c r="E10" s="20" t="s">
        <v>388</v>
      </c>
      <c r="F10" s="20" t="s">
        <v>374</v>
      </c>
      <c r="G10" s="33">
        <v>18</v>
      </c>
      <c r="H10" s="34">
        <f>VLOOKUP($C10,'Raw Cost'!$A$1:$B$484,2,FALSE)/G10</f>
        <v>1</v>
      </c>
      <c r="I10" s="34">
        <f t="shared" si="0"/>
        <v>6.25E-2</v>
      </c>
      <c r="J10" s="35">
        <v>10</v>
      </c>
      <c r="K10" s="35">
        <v>0.25</v>
      </c>
      <c r="L10" s="36">
        <f>VLOOKUP($F10,'Packaging Cost'!$A$1:$F$43,6,FALSE)</f>
        <v>0.9</v>
      </c>
      <c r="M10" s="37">
        <f>IF($E10="Snakpak",(($J10*H10)+($K10*'Labor Cost'!$A$2)+L10)+2.25,($J10*H10)+($K10*'Labor Cost'!$A$2)+L10+1)</f>
        <v>17.774999999999999</v>
      </c>
      <c r="N10" s="38">
        <f t="shared" si="1"/>
        <v>22.21875</v>
      </c>
      <c r="O10" s="38">
        <f t="shared" si="2"/>
        <v>23.107499999999998</v>
      </c>
      <c r="P10" s="38">
        <f t="shared" si="3"/>
        <v>23.99625</v>
      </c>
      <c r="Q10" s="38">
        <f t="shared" si="4"/>
        <v>24.884999999999998</v>
      </c>
      <c r="R10" s="38">
        <f t="shared" si="5"/>
        <v>25.773749999999996</v>
      </c>
      <c r="S10" s="38">
        <f t="shared" si="6"/>
        <v>22.25</v>
      </c>
      <c r="T10" s="38">
        <f t="shared" si="7"/>
        <v>23</v>
      </c>
      <c r="U10" s="38">
        <f t="shared" si="8"/>
        <v>24</v>
      </c>
      <c r="V10" s="38">
        <f t="shared" si="9"/>
        <v>25</v>
      </c>
      <c r="W10" s="38">
        <f t="shared" si="10"/>
        <v>25.75</v>
      </c>
    </row>
    <row r="11" spans="1:23" ht="21" customHeight="1" x14ac:dyDescent="0.2">
      <c r="A11" s="19" t="s">
        <v>575</v>
      </c>
      <c r="B11" s="19" t="s">
        <v>182</v>
      </c>
      <c r="C11" s="20" t="s">
        <v>573</v>
      </c>
      <c r="D11" s="32" t="s">
        <v>384</v>
      </c>
      <c r="E11" s="20" t="s">
        <v>388</v>
      </c>
      <c r="F11" s="20" t="s">
        <v>374</v>
      </c>
      <c r="G11" s="33">
        <v>18</v>
      </c>
      <c r="H11" s="34">
        <f>VLOOKUP($C11,'Raw Cost'!$A$1:$B$484,2,FALSE)/G11</f>
        <v>1.8888888888888888</v>
      </c>
      <c r="I11" s="34">
        <f t="shared" si="0"/>
        <v>0.11805555555555555</v>
      </c>
      <c r="J11" s="35">
        <v>10</v>
      </c>
      <c r="K11" s="35">
        <v>0.25</v>
      </c>
      <c r="L11" s="36">
        <f>VLOOKUP($F11,'Packaging Cost'!$A$1:$F$43,6,FALSE)</f>
        <v>0.9</v>
      </c>
      <c r="M11" s="37">
        <f>IF($E11="Snakpak",(($J11*H11)+($K11*'Labor Cost'!$A$2)+L11)+2.25,($J11*H11)+($K11*'Labor Cost'!$A$2)+L11+1)</f>
        <v>26.663888888888888</v>
      </c>
      <c r="N11" s="38">
        <f t="shared" si="1"/>
        <v>33.329861111111107</v>
      </c>
      <c r="O11" s="38">
        <f t="shared" si="2"/>
        <v>34.663055555555559</v>
      </c>
      <c r="P11" s="38">
        <f t="shared" si="3"/>
        <v>35.996250000000003</v>
      </c>
      <c r="Q11" s="38">
        <f t="shared" si="4"/>
        <v>37.329444444444441</v>
      </c>
      <c r="R11" s="38">
        <f t="shared" si="5"/>
        <v>38.662638888888885</v>
      </c>
      <c r="S11" s="38">
        <f t="shared" si="6"/>
        <v>33.25</v>
      </c>
      <c r="T11" s="38">
        <f t="shared" si="7"/>
        <v>34.75</v>
      </c>
      <c r="U11" s="38">
        <f t="shared" si="8"/>
        <v>36</v>
      </c>
      <c r="V11" s="38">
        <f t="shared" si="9"/>
        <v>37.25</v>
      </c>
      <c r="W11" s="38">
        <f t="shared" si="10"/>
        <v>38.75</v>
      </c>
    </row>
    <row r="12" spans="1:23" ht="21" customHeight="1" x14ac:dyDescent="0.2">
      <c r="A12" s="19" t="s">
        <v>445</v>
      </c>
      <c r="B12" s="19" t="s">
        <v>446</v>
      </c>
      <c r="C12" s="32" t="s">
        <v>444</v>
      </c>
      <c r="D12" s="20" t="s">
        <v>384</v>
      </c>
      <c r="E12" s="20" t="s">
        <v>388</v>
      </c>
      <c r="F12" s="20" t="s">
        <v>369</v>
      </c>
      <c r="G12" s="33">
        <v>30</v>
      </c>
      <c r="H12" s="34">
        <f>VLOOKUP($C12,'Raw Cost'!$A$1:$B$484,2,FALSE)/G12</f>
        <v>1.4596666666666667</v>
      </c>
      <c r="I12" s="34">
        <f t="shared" si="0"/>
        <v>9.1229166666666667E-2</v>
      </c>
      <c r="J12" s="35">
        <v>20</v>
      </c>
      <c r="K12" s="35">
        <v>0.25</v>
      </c>
      <c r="L12" s="36">
        <f>VLOOKUP($F12,'Packaging Cost'!$A$1:$F$43,6,FALSE)</f>
        <v>1.23</v>
      </c>
      <c r="M12" s="37">
        <f>IF($E12="Snakpak",(($J12*H12)+($K12*'Labor Cost'!$A$2)+L12)+2.25,($J12*H12)+($K12*'Labor Cost'!$A$2)+L12+1)</f>
        <v>37.298333333333332</v>
      </c>
      <c r="N12" s="38">
        <f t="shared" si="1"/>
        <v>46.622916666666669</v>
      </c>
      <c r="O12" s="38">
        <f t="shared" si="2"/>
        <v>48.487833333333334</v>
      </c>
      <c r="P12" s="38">
        <f t="shared" si="3"/>
        <v>50.35275</v>
      </c>
      <c r="Q12" s="38">
        <f t="shared" si="4"/>
        <v>52.217666666666659</v>
      </c>
      <c r="R12" s="38">
        <f t="shared" si="5"/>
        <v>54.082583333333332</v>
      </c>
      <c r="S12" s="38">
        <f t="shared" si="6"/>
        <v>46.5</v>
      </c>
      <c r="T12" s="38">
        <f t="shared" si="7"/>
        <v>48.5</v>
      </c>
      <c r="U12" s="38">
        <f t="shared" si="8"/>
        <v>50.25</v>
      </c>
      <c r="V12" s="38">
        <f t="shared" si="9"/>
        <v>52.25</v>
      </c>
      <c r="W12" s="38">
        <f t="shared" si="10"/>
        <v>54</v>
      </c>
    </row>
    <row r="13" spans="1:23" ht="21" customHeight="1" x14ac:dyDescent="0.2">
      <c r="A13" s="19" t="s">
        <v>511</v>
      </c>
      <c r="B13" s="19" t="s">
        <v>185</v>
      </c>
      <c r="C13" s="32" t="s">
        <v>3</v>
      </c>
      <c r="D13" s="20" t="s">
        <v>384</v>
      </c>
      <c r="E13" s="20" t="s">
        <v>388</v>
      </c>
      <c r="F13" s="20" t="s">
        <v>403</v>
      </c>
      <c r="G13" s="33">
        <v>15</v>
      </c>
      <c r="H13" s="34">
        <f>VLOOKUP($C13,'Raw Cost'!$A$1:$B$484,2,FALSE)/G13</f>
        <v>1.4666666666666666</v>
      </c>
      <c r="I13" s="34">
        <f t="shared" si="0"/>
        <v>9.166666666666666E-2</v>
      </c>
      <c r="J13" s="35">
        <v>12</v>
      </c>
      <c r="K13" s="35">
        <v>0.25</v>
      </c>
      <c r="L13" s="36">
        <f>VLOOKUP($F13,'Packaging Cost'!$A$1:$F$43,6,FALSE)</f>
        <v>1.23</v>
      </c>
      <c r="M13" s="37">
        <f>IF($E13="Snakpak",(($J13*H13)+($K13*'Labor Cost'!$A$2)+L13)+2.25,($J13*H13)+($K13*'Labor Cost'!$A$2)+L13+1)</f>
        <v>25.704999999999998</v>
      </c>
      <c r="N13" s="38">
        <f t="shared" si="1"/>
        <v>32.131249999999994</v>
      </c>
      <c r="O13" s="38">
        <f t="shared" si="2"/>
        <v>33.416499999999999</v>
      </c>
      <c r="P13" s="38">
        <f t="shared" si="3"/>
        <v>34.701749999999997</v>
      </c>
      <c r="Q13" s="38">
        <f t="shared" si="4"/>
        <v>35.986999999999995</v>
      </c>
      <c r="R13" s="38">
        <f t="shared" si="5"/>
        <v>37.27225</v>
      </c>
      <c r="S13" s="38">
        <f t="shared" si="6"/>
        <v>32.25</v>
      </c>
      <c r="T13" s="38">
        <f t="shared" si="7"/>
        <v>33.5</v>
      </c>
      <c r="U13" s="38">
        <f t="shared" si="8"/>
        <v>34.75</v>
      </c>
      <c r="V13" s="38">
        <f t="shared" si="9"/>
        <v>36</v>
      </c>
      <c r="W13" s="38">
        <f t="shared" si="10"/>
        <v>37.25</v>
      </c>
    </row>
    <row r="14" spans="1:23" ht="21" customHeight="1" x14ac:dyDescent="0.2">
      <c r="A14" s="19" t="s">
        <v>62</v>
      </c>
      <c r="B14" s="19" t="s">
        <v>186</v>
      </c>
      <c r="C14" s="32" t="s">
        <v>3</v>
      </c>
      <c r="D14" s="20" t="s">
        <v>384</v>
      </c>
      <c r="E14" s="20" t="s">
        <v>388</v>
      </c>
      <c r="F14" s="20" t="s">
        <v>369</v>
      </c>
      <c r="G14" s="33">
        <v>15</v>
      </c>
      <c r="H14" s="34">
        <f>VLOOKUP($C14,'Raw Cost'!$A$1:$B$484,2,FALSE)/G14</f>
        <v>1.4666666666666666</v>
      </c>
      <c r="I14" s="34">
        <f t="shared" si="0"/>
        <v>9.166666666666666E-2</v>
      </c>
      <c r="J14" s="35">
        <v>18</v>
      </c>
      <c r="K14" s="35">
        <v>0.25</v>
      </c>
      <c r="L14" s="36">
        <f>VLOOKUP($F14,'Packaging Cost'!$A$1:$F$43,6,FALSE)</f>
        <v>1.23</v>
      </c>
      <c r="M14" s="37">
        <f>IF($E14="Snakpak",(($J14*H14)+($K14*'Labor Cost'!$A$2)+L14)+2.25,($J14*H14)+($K14*'Labor Cost'!$A$2)+L14+1)</f>
        <v>34.504999999999995</v>
      </c>
      <c r="N14" s="38">
        <f t="shared" si="1"/>
        <v>43.131249999999994</v>
      </c>
      <c r="O14" s="38">
        <f t="shared" si="2"/>
        <v>44.856499999999997</v>
      </c>
      <c r="P14" s="38">
        <f t="shared" si="3"/>
        <v>46.58175</v>
      </c>
      <c r="Q14" s="38">
        <f t="shared" si="4"/>
        <v>48.306999999999988</v>
      </c>
      <c r="R14" s="38">
        <f t="shared" si="5"/>
        <v>50.032249999999991</v>
      </c>
      <c r="S14" s="38">
        <f t="shared" si="6"/>
        <v>43.25</v>
      </c>
      <c r="T14" s="38">
        <f t="shared" si="7"/>
        <v>44.75</v>
      </c>
      <c r="U14" s="38">
        <f t="shared" si="8"/>
        <v>46.5</v>
      </c>
      <c r="V14" s="38">
        <f t="shared" si="9"/>
        <v>48.25</v>
      </c>
      <c r="W14" s="38">
        <f t="shared" si="10"/>
        <v>50</v>
      </c>
    </row>
    <row r="15" spans="1:23" ht="21" customHeight="1" x14ac:dyDescent="0.2">
      <c r="A15" s="19" t="s">
        <v>512</v>
      </c>
      <c r="B15" s="19" t="s">
        <v>187</v>
      </c>
      <c r="C15" s="20" t="s">
        <v>588</v>
      </c>
      <c r="D15" s="32" t="s">
        <v>384</v>
      </c>
      <c r="E15" s="20" t="s">
        <v>388</v>
      </c>
      <c r="F15" s="20" t="s">
        <v>393</v>
      </c>
      <c r="G15" s="33">
        <v>15</v>
      </c>
      <c r="H15" s="34">
        <f>VLOOKUP($C15,'Raw Cost'!$A$1:$B$484,2,FALSE)/G15</f>
        <v>1.6285714285714288</v>
      </c>
      <c r="I15" s="34">
        <f t="shared" si="0"/>
        <v>0.1017857142857143</v>
      </c>
      <c r="J15" s="35">
        <v>12</v>
      </c>
      <c r="K15" s="35">
        <v>0.15</v>
      </c>
      <c r="L15" s="36">
        <f>VLOOKUP($F15,'Packaging Cost'!$A$1:$F$43,6,FALSE)</f>
        <v>1.1500000000000001</v>
      </c>
      <c r="M15" s="37">
        <f>IF($E15="Snakpak",(($J15*H15)+($K15*'Labor Cost'!$A$2)+L15)+2.25,($J15*H15)+($K15*'Labor Cost'!$A$2)+L15)</f>
        <v>24.217857142857142</v>
      </c>
      <c r="N15" s="38">
        <f t="shared" si="1"/>
        <v>30.272321428571427</v>
      </c>
      <c r="O15" s="38">
        <f t="shared" si="2"/>
        <v>31.483214285714286</v>
      </c>
      <c r="P15" s="38">
        <f t="shared" si="3"/>
        <v>32.694107142857142</v>
      </c>
      <c r="Q15" s="38">
        <f t="shared" si="4"/>
        <v>33.904999999999994</v>
      </c>
      <c r="R15" s="38">
        <f t="shared" si="5"/>
        <v>35.115892857142853</v>
      </c>
      <c r="S15" s="38">
        <f t="shared" si="6"/>
        <v>30.25</v>
      </c>
      <c r="T15" s="38">
        <f t="shared" si="7"/>
        <v>31.5</v>
      </c>
      <c r="U15" s="38">
        <f t="shared" si="8"/>
        <v>32.75</v>
      </c>
      <c r="V15" s="38">
        <f t="shared" si="9"/>
        <v>34</v>
      </c>
      <c r="W15" s="38">
        <f t="shared" si="10"/>
        <v>35</v>
      </c>
    </row>
    <row r="16" spans="1:23" ht="21" customHeight="1" x14ac:dyDescent="0.2">
      <c r="A16" s="19" t="s">
        <v>1301</v>
      </c>
      <c r="B16" s="19" t="s">
        <v>188</v>
      </c>
      <c r="C16" s="32" t="s">
        <v>6</v>
      </c>
      <c r="D16" s="20" t="s">
        <v>384</v>
      </c>
      <c r="E16" s="20" t="s">
        <v>388</v>
      </c>
      <c r="F16" s="20" t="s">
        <v>369</v>
      </c>
      <c r="G16" s="33">
        <v>20</v>
      </c>
      <c r="H16" s="34">
        <f>VLOOKUP($C16,'Raw Cost'!$A$1:$B$484,2,FALSE)/G16</f>
        <v>1.8</v>
      </c>
      <c r="I16" s="34">
        <f t="shared" si="0"/>
        <v>0.1125</v>
      </c>
      <c r="J16" s="35">
        <v>20</v>
      </c>
      <c r="K16" s="35">
        <v>0.35</v>
      </c>
      <c r="L16" s="36">
        <f>VLOOKUP($F16,'Packaging Cost'!$A$1:$F$43,6,FALSE)</f>
        <v>1.23</v>
      </c>
      <c r="M16" s="37">
        <f>IF($E16="Snakpak",(($J16*H16)+($K16*'Labor Cost'!$A$2)+L16)+2.25,($J16*H16)+($K16*'Labor Cost'!$A$2)+L16+1)</f>
        <v>46.454999999999998</v>
      </c>
      <c r="N16" s="38">
        <f t="shared" si="1"/>
        <v>58.068749999999994</v>
      </c>
      <c r="O16" s="38">
        <f t="shared" si="2"/>
        <v>60.391500000000001</v>
      </c>
      <c r="P16" s="38">
        <f t="shared" si="3"/>
        <v>62.71425</v>
      </c>
      <c r="Q16" s="38">
        <f t="shared" si="4"/>
        <v>65.036999999999992</v>
      </c>
      <c r="R16" s="38">
        <f t="shared" si="5"/>
        <v>67.359749999999991</v>
      </c>
      <c r="S16" s="38">
        <f t="shared" si="6"/>
        <v>58</v>
      </c>
      <c r="T16" s="38">
        <f t="shared" si="7"/>
        <v>60.5</v>
      </c>
      <c r="U16" s="38">
        <f t="shared" si="8"/>
        <v>62.75</v>
      </c>
      <c r="V16" s="38">
        <f t="shared" si="9"/>
        <v>65</v>
      </c>
      <c r="W16" s="38">
        <f t="shared" si="10"/>
        <v>67.25</v>
      </c>
    </row>
    <row r="17" spans="1:23" ht="21" customHeight="1" x14ac:dyDescent="0.2">
      <c r="A17" s="19" t="s">
        <v>1302</v>
      </c>
      <c r="B17" s="19" t="s">
        <v>189</v>
      </c>
      <c r="C17" s="32" t="s">
        <v>6</v>
      </c>
      <c r="D17" s="20" t="s">
        <v>384</v>
      </c>
      <c r="E17" s="20" t="s">
        <v>388</v>
      </c>
      <c r="F17" s="20" t="s">
        <v>369</v>
      </c>
      <c r="G17" s="33">
        <v>20</v>
      </c>
      <c r="H17" s="34">
        <f>VLOOKUP($C17,'Raw Cost'!$A$1:$B$484,2,FALSE)/G17</f>
        <v>1.8</v>
      </c>
      <c r="I17" s="34">
        <f t="shared" si="0"/>
        <v>0.1125</v>
      </c>
      <c r="J17" s="35">
        <v>20</v>
      </c>
      <c r="K17" s="35">
        <v>0.75</v>
      </c>
      <c r="L17" s="36">
        <f>VLOOKUP($F17,'Packaging Cost'!$A$1:$F$43,6,FALSE)</f>
        <v>1.23</v>
      </c>
      <c r="M17" s="37">
        <f>IF($E17="Snakpak",(($J17*H17)+($K17*'Labor Cost'!$A$2)+L17)+2.25,($J17*H17)+($K17*'Labor Cost'!$A$2)+L17+1)</f>
        <v>55.854999999999997</v>
      </c>
      <c r="N17" s="38">
        <f t="shared" si="1"/>
        <v>69.818749999999994</v>
      </c>
      <c r="O17" s="38">
        <f t="shared" si="2"/>
        <v>72.611499999999992</v>
      </c>
      <c r="P17" s="38">
        <f t="shared" si="3"/>
        <v>75.404250000000005</v>
      </c>
      <c r="Q17" s="38">
        <f t="shared" si="4"/>
        <v>78.196999999999989</v>
      </c>
      <c r="R17" s="38">
        <f t="shared" si="5"/>
        <v>80.989749999999987</v>
      </c>
      <c r="S17" s="38">
        <f t="shared" si="6"/>
        <v>69.75</v>
      </c>
      <c r="T17" s="38">
        <f t="shared" si="7"/>
        <v>72.5</v>
      </c>
      <c r="U17" s="38">
        <f t="shared" si="8"/>
        <v>75.5</v>
      </c>
      <c r="V17" s="38">
        <f t="shared" si="9"/>
        <v>78.25</v>
      </c>
      <c r="W17" s="38">
        <f t="shared" si="10"/>
        <v>81</v>
      </c>
    </row>
    <row r="18" spans="1:23" ht="21" customHeight="1" x14ac:dyDescent="0.2">
      <c r="A18" s="19" t="s">
        <v>394</v>
      </c>
      <c r="B18" s="19" t="s">
        <v>181</v>
      </c>
      <c r="C18" s="20" t="s">
        <v>52</v>
      </c>
      <c r="D18" s="20" t="s">
        <v>384</v>
      </c>
      <c r="E18" s="20" t="s">
        <v>388</v>
      </c>
      <c r="F18" s="20" t="s">
        <v>369</v>
      </c>
      <c r="G18" s="33">
        <v>26</v>
      </c>
      <c r="H18" s="34">
        <f>VLOOKUP($C18,'Raw Cost'!$A$1:$B$484,2,FALSE)/G18</f>
        <v>1</v>
      </c>
      <c r="I18" s="34">
        <f t="shared" si="0"/>
        <v>6.25E-2</v>
      </c>
      <c r="J18" s="35">
        <v>20</v>
      </c>
      <c r="K18" s="35">
        <v>0.27</v>
      </c>
      <c r="L18" s="36">
        <f>VLOOKUP($F18,'Packaging Cost'!$A$1:$F$43,6,FALSE)</f>
        <v>1.23</v>
      </c>
      <c r="M18" s="37">
        <f>IF($E18="Snakpak",(($J18*H18)+($K18*'Labor Cost'!$A$2)+L18)+2.25,($J18*H18)+($K18*'Labor Cost'!$A$2)+L18+1)</f>
        <v>28.574999999999999</v>
      </c>
      <c r="N18" s="38">
        <f t="shared" si="1"/>
        <v>35.71875</v>
      </c>
      <c r="O18" s="38">
        <f t="shared" si="2"/>
        <v>37.147500000000001</v>
      </c>
      <c r="P18" s="38">
        <f t="shared" si="3"/>
        <v>38.576250000000002</v>
      </c>
      <c r="Q18" s="38">
        <f t="shared" si="4"/>
        <v>40.004999999999995</v>
      </c>
      <c r="R18" s="38">
        <f t="shared" si="5"/>
        <v>41.433749999999996</v>
      </c>
      <c r="S18" s="38">
        <f t="shared" si="6"/>
        <v>35.75</v>
      </c>
      <c r="T18" s="38">
        <f t="shared" si="7"/>
        <v>37.25</v>
      </c>
      <c r="U18" s="38">
        <f t="shared" si="8"/>
        <v>38.5</v>
      </c>
      <c r="V18" s="38">
        <f t="shared" si="9"/>
        <v>40</v>
      </c>
      <c r="W18" s="38">
        <f t="shared" si="10"/>
        <v>41.5</v>
      </c>
    </row>
    <row r="19" spans="1:23" ht="21" customHeight="1" x14ac:dyDescent="0.2">
      <c r="A19" s="19" t="s">
        <v>70</v>
      </c>
      <c r="B19" s="19" t="s">
        <v>216</v>
      </c>
      <c r="C19" s="20" t="s">
        <v>7</v>
      </c>
      <c r="D19" s="20" t="s">
        <v>384</v>
      </c>
      <c r="E19" s="20" t="s">
        <v>388</v>
      </c>
      <c r="F19" s="20" t="s">
        <v>369</v>
      </c>
      <c r="G19" s="33">
        <v>35</v>
      </c>
      <c r="H19" s="34">
        <f>VLOOKUP($C19,'Raw Cost'!$A$1:$B$484,2,FALSE)/G19</f>
        <v>0.48571428571428571</v>
      </c>
      <c r="I19" s="34">
        <f t="shared" si="0"/>
        <v>3.0357142857142857E-2</v>
      </c>
      <c r="J19" s="35">
        <v>20</v>
      </c>
      <c r="K19" s="35">
        <v>0.25</v>
      </c>
      <c r="L19" s="36">
        <f>VLOOKUP($F19,'Packaging Cost'!$A$1:$F$43,6,FALSE)</f>
        <v>1.23</v>
      </c>
      <c r="M19" s="37">
        <f>IF($E19="Snakpak",(($J19*H19)+($K19*'Labor Cost'!$A$2)+L19)+2.25,($J19*H19)+($K19*'Labor Cost'!$A$2)+L19+1)</f>
        <v>17.819285714285712</v>
      </c>
      <c r="N19" s="38">
        <f t="shared" si="1"/>
        <v>22.27410714285714</v>
      </c>
      <c r="O19" s="38">
        <f t="shared" si="2"/>
        <v>23.165071428571427</v>
      </c>
      <c r="P19" s="38">
        <f t="shared" si="3"/>
        <v>24.056035714285713</v>
      </c>
      <c r="Q19" s="38">
        <f t="shared" si="4"/>
        <v>24.946999999999996</v>
      </c>
      <c r="R19" s="38">
        <f t="shared" si="5"/>
        <v>25.837964285714282</v>
      </c>
      <c r="S19" s="38">
        <f t="shared" si="6"/>
        <v>22.25</v>
      </c>
      <c r="T19" s="38">
        <f t="shared" si="7"/>
        <v>23.25</v>
      </c>
      <c r="U19" s="38">
        <f t="shared" si="8"/>
        <v>24</v>
      </c>
      <c r="V19" s="38">
        <f t="shared" si="9"/>
        <v>25</v>
      </c>
      <c r="W19" s="38">
        <f t="shared" si="10"/>
        <v>25.75</v>
      </c>
    </row>
    <row r="20" spans="1:23" ht="21" customHeight="1" x14ac:dyDescent="0.2">
      <c r="A20" s="19" t="s">
        <v>1295</v>
      </c>
      <c r="B20" s="19" t="s">
        <v>355</v>
      </c>
      <c r="C20" s="20" t="s">
        <v>7</v>
      </c>
      <c r="D20" s="20" t="s">
        <v>384</v>
      </c>
      <c r="E20" s="20" t="s">
        <v>388</v>
      </c>
      <c r="F20" s="20" t="s">
        <v>369</v>
      </c>
      <c r="G20" s="33">
        <v>35</v>
      </c>
      <c r="H20" s="34">
        <f>VLOOKUP($C20,'Raw Cost'!$A$1:$B$484,2,FALSE)/G20</f>
        <v>0.48571428571428571</v>
      </c>
      <c r="I20" s="34">
        <f t="shared" si="0"/>
        <v>3.0357142857142857E-2</v>
      </c>
      <c r="J20" s="35">
        <v>20</v>
      </c>
      <c r="K20" s="35">
        <v>0.25</v>
      </c>
      <c r="L20" s="36">
        <f>VLOOKUP($F20,'Packaging Cost'!$A$1:$F$43,6,FALSE)</f>
        <v>1.23</v>
      </c>
      <c r="M20" s="37">
        <f>IF($E20="Snakpak",(($J20*H20)+($K20*'Labor Cost'!$A$2)+L20)+2.25,($J20*H20)+($K20*'Labor Cost'!$A$2)+L20+1)</f>
        <v>17.819285714285712</v>
      </c>
      <c r="N20" s="38">
        <f t="shared" si="1"/>
        <v>22.27410714285714</v>
      </c>
      <c r="O20" s="38">
        <f t="shared" si="2"/>
        <v>23.165071428571427</v>
      </c>
      <c r="P20" s="38">
        <f t="shared" si="3"/>
        <v>24.056035714285713</v>
      </c>
      <c r="Q20" s="38">
        <f t="shared" si="4"/>
        <v>24.946999999999996</v>
      </c>
      <c r="R20" s="38">
        <f t="shared" si="5"/>
        <v>25.837964285714282</v>
      </c>
      <c r="S20" s="38">
        <f t="shared" si="6"/>
        <v>22.25</v>
      </c>
      <c r="T20" s="38">
        <f t="shared" si="7"/>
        <v>23.25</v>
      </c>
      <c r="U20" s="38">
        <f t="shared" si="8"/>
        <v>24</v>
      </c>
      <c r="V20" s="38">
        <f t="shared" si="9"/>
        <v>25</v>
      </c>
      <c r="W20" s="38">
        <f t="shared" si="10"/>
        <v>25.75</v>
      </c>
    </row>
    <row r="21" spans="1:23" ht="21" customHeight="1" x14ac:dyDescent="0.2">
      <c r="A21" s="19" t="s">
        <v>101</v>
      </c>
      <c r="B21" s="19" t="s">
        <v>329</v>
      </c>
      <c r="C21" s="32" t="s">
        <v>8</v>
      </c>
      <c r="D21" s="20" t="s">
        <v>384</v>
      </c>
      <c r="E21" s="20" t="s">
        <v>388</v>
      </c>
      <c r="F21" s="20" t="s">
        <v>369</v>
      </c>
      <c r="G21" s="33">
        <v>35</v>
      </c>
      <c r="H21" s="34">
        <f>VLOOKUP($C21,'Raw Cost'!$A$1:$B$484,2,FALSE)/G21</f>
        <v>0.7142857142857143</v>
      </c>
      <c r="I21" s="34">
        <f t="shared" si="0"/>
        <v>4.4642857142857144E-2</v>
      </c>
      <c r="J21" s="35">
        <v>20</v>
      </c>
      <c r="K21" s="35">
        <v>0.25</v>
      </c>
      <c r="L21" s="36">
        <f>VLOOKUP($F21,'Packaging Cost'!$A$1:$F$43,6,FALSE)</f>
        <v>1.23</v>
      </c>
      <c r="M21" s="37">
        <f>IF($E21="Snakpak",(($J21*H21)+($K21*'Labor Cost'!$A$2)+L21)+2.25,($J21*H21)+($K21*'Labor Cost'!$A$2)+L21+1)</f>
        <v>22.390714285714285</v>
      </c>
      <c r="N21" s="38">
        <f t="shared" si="1"/>
        <v>27.988392857142856</v>
      </c>
      <c r="O21" s="38">
        <f t="shared" si="2"/>
        <v>29.107928571428573</v>
      </c>
      <c r="P21" s="38">
        <f t="shared" si="3"/>
        <v>30.227464285714287</v>
      </c>
      <c r="Q21" s="38">
        <f t="shared" si="4"/>
        <v>31.346999999999998</v>
      </c>
      <c r="R21" s="38">
        <f t="shared" si="5"/>
        <v>32.466535714285712</v>
      </c>
      <c r="S21" s="38">
        <f t="shared" si="6"/>
        <v>28</v>
      </c>
      <c r="T21" s="38">
        <f t="shared" si="7"/>
        <v>29</v>
      </c>
      <c r="U21" s="38">
        <f t="shared" si="8"/>
        <v>30.25</v>
      </c>
      <c r="V21" s="38">
        <f t="shared" si="9"/>
        <v>31.25</v>
      </c>
      <c r="W21" s="38">
        <f t="shared" si="10"/>
        <v>32.5</v>
      </c>
    </row>
    <row r="22" spans="1:23" ht="21" customHeight="1" x14ac:dyDescent="0.2">
      <c r="A22" s="19" t="s">
        <v>64</v>
      </c>
      <c r="B22" s="19" t="s">
        <v>192</v>
      </c>
      <c r="C22" s="32" t="s">
        <v>10</v>
      </c>
      <c r="D22" s="20" t="s">
        <v>384</v>
      </c>
      <c r="E22" s="20" t="s">
        <v>388</v>
      </c>
      <c r="F22" s="20" t="s">
        <v>399</v>
      </c>
      <c r="G22" s="33">
        <v>18</v>
      </c>
      <c r="H22" s="34">
        <f>VLOOKUP($C22,'Raw Cost'!$A$1:$B$484,2,FALSE)/G22</f>
        <v>1.1111111111111112</v>
      </c>
      <c r="I22" s="34">
        <f t="shared" si="0"/>
        <v>6.9444444444444448E-2</v>
      </c>
      <c r="J22" s="35">
        <v>5</v>
      </c>
      <c r="K22" s="35">
        <v>0.25</v>
      </c>
      <c r="L22" s="36">
        <f>VLOOKUP($F22,'Packaging Cost'!$A$1:$F$43,6,FALSE)</f>
        <v>1.7600000000000002</v>
      </c>
      <c r="M22" s="37">
        <f>IF($E22="Snakpak",(($J22*H22)+($K22*'Labor Cost'!$A$2)+L22)+2.25,($J22*H22)+($K22*'Labor Cost'!$A$2)+L22+1)</f>
        <v>14.190555555555555</v>
      </c>
      <c r="N22" s="38">
        <f t="shared" si="1"/>
        <v>17.738194444444446</v>
      </c>
      <c r="O22" s="38">
        <f t="shared" si="2"/>
        <v>18.447722222222222</v>
      </c>
      <c r="P22" s="38">
        <f t="shared" si="3"/>
        <v>19.157250000000001</v>
      </c>
      <c r="Q22" s="38">
        <f t="shared" si="4"/>
        <v>19.866777777777777</v>
      </c>
      <c r="R22" s="38">
        <f t="shared" si="5"/>
        <v>20.576305555555553</v>
      </c>
      <c r="S22" s="38">
        <f t="shared" si="6"/>
        <v>17.75</v>
      </c>
      <c r="T22" s="38">
        <f t="shared" si="7"/>
        <v>18.5</v>
      </c>
      <c r="U22" s="38">
        <f t="shared" si="8"/>
        <v>19.25</v>
      </c>
      <c r="V22" s="38">
        <f t="shared" si="9"/>
        <v>19.75</v>
      </c>
      <c r="W22" s="38">
        <f t="shared" si="10"/>
        <v>20.5</v>
      </c>
    </row>
    <row r="23" spans="1:23" ht="21" customHeight="1" x14ac:dyDescent="0.2">
      <c r="A23" s="19" t="s">
        <v>65</v>
      </c>
      <c r="B23" s="19" t="s">
        <v>193</v>
      </c>
      <c r="C23" s="32" t="s">
        <v>10</v>
      </c>
      <c r="D23" s="20" t="s">
        <v>384</v>
      </c>
      <c r="E23" s="20" t="s">
        <v>388</v>
      </c>
      <c r="F23" s="20" t="s">
        <v>399</v>
      </c>
      <c r="G23" s="33">
        <v>18</v>
      </c>
      <c r="H23" s="34">
        <f>VLOOKUP($C23,'Raw Cost'!$A$1:$B$484,2,FALSE)/G23</f>
        <v>1.1111111111111112</v>
      </c>
      <c r="I23" s="34">
        <f t="shared" si="0"/>
        <v>6.9444444444444448E-2</v>
      </c>
      <c r="J23" s="35">
        <v>5</v>
      </c>
      <c r="K23" s="35">
        <v>0.25</v>
      </c>
      <c r="L23" s="36">
        <f>VLOOKUP($F23,'Packaging Cost'!$A$1:$F$43,6,FALSE)</f>
        <v>1.7600000000000002</v>
      </c>
      <c r="M23" s="37">
        <f>IF($E23="Snakpak",(($J23*H23)+($K23*'Labor Cost'!$A$2)+L23)+2.25,($J23*H23)+($K23*'Labor Cost'!$A$2)+L23+1)</f>
        <v>14.190555555555555</v>
      </c>
      <c r="N23" s="38">
        <f t="shared" si="1"/>
        <v>17.738194444444446</v>
      </c>
      <c r="O23" s="38">
        <f t="shared" si="2"/>
        <v>18.447722222222222</v>
      </c>
      <c r="P23" s="38">
        <f t="shared" si="3"/>
        <v>19.157250000000001</v>
      </c>
      <c r="Q23" s="38">
        <f t="shared" si="4"/>
        <v>19.866777777777777</v>
      </c>
      <c r="R23" s="38">
        <f t="shared" si="5"/>
        <v>20.576305555555553</v>
      </c>
      <c r="S23" s="38">
        <f t="shared" si="6"/>
        <v>17.75</v>
      </c>
      <c r="T23" s="38">
        <f t="shared" si="7"/>
        <v>18.5</v>
      </c>
      <c r="U23" s="38">
        <f t="shared" si="8"/>
        <v>19.25</v>
      </c>
      <c r="V23" s="38">
        <f t="shared" si="9"/>
        <v>19.75</v>
      </c>
      <c r="W23" s="38">
        <f t="shared" si="10"/>
        <v>20.5</v>
      </c>
    </row>
    <row r="24" spans="1:23" ht="21" customHeight="1" x14ac:dyDescent="0.2">
      <c r="A24" s="19" t="s">
        <v>66</v>
      </c>
      <c r="B24" s="19" t="s">
        <v>194</v>
      </c>
      <c r="C24" s="32" t="s">
        <v>10</v>
      </c>
      <c r="D24" s="20" t="s">
        <v>384</v>
      </c>
      <c r="E24" s="20" t="s">
        <v>388</v>
      </c>
      <c r="F24" s="20" t="s">
        <v>397</v>
      </c>
      <c r="G24" s="33">
        <v>18</v>
      </c>
      <c r="H24" s="34">
        <f>VLOOKUP($C24,'Raw Cost'!$A$1:$B$484,2,FALSE)/G24</f>
        <v>1.1111111111111112</v>
      </c>
      <c r="I24" s="34">
        <f t="shared" si="0"/>
        <v>6.9444444444444448E-2</v>
      </c>
      <c r="J24" s="35">
        <v>10</v>
      </c>
      <c r="K24" s="35">
        <v>0.25</v>
      </c>
      <c r="L24" s="36">
        <f>VLOOKUP($F24,'Packaging Cost'!$A$1:$F$43,6,FALSE)</f>
        <v>3.22</v>
      </c>
      <c r="M24" s="37">
        <f>IF($E24="Snakpak",(($J24*H24)+($K24*'Labor Cost'!$A$2)+L24)+2.25,($J24*H24)+($K24*'Labor Cost'!$A$2)+L24+1)</f>
        <v>21.20611111111111</v>
      </c>
      <c r="N24" s="38">
        <f t="shared" si="1"/>
        <v>26.507638888888888</v>
      </c>
      <c r="O24" s="38">
        <f t="shared" si="2"/>
        <v>27.567944444444443</v>
      </c>
      <c r="P24" s="38">
        <f t="shared" si="3"/>
        <v>28.628250000000001</v>
      </c>
      <c r="Q24" s="38">
        <f t="shared" si="4"/>
        <v>29.688555555555553</v>
      </c>
      <c r="R24" s="38">
        <f t="shared" si="5"/>
        <v>30.748861111111108</v>
      </c>
      <c r="S24" s="38">
        <f t="shared" si="6"/>
        <v>26.5</v>
      </c>
      <c r="T24" s="38">
        <f t="shared" si="7"/>
        <v>27.5</v>
      </c>
      <c r="U24" s="38">
        <f t="shared" si="8"/>
        <v>28.75</v>
      </c>
      <c r="V24" s="38">
        <f t="shared" si="9"/>
        <v>29.75</v>
      </c>
      <c r="W24" s="38">
        <f t="shared" si="10"/>
        <v>30.75</v>
      </c>
    </row>
    <row r="25" spans="1:23" ht="21" customHeight="1" x14ac:dyDescent="0.2">
      <c r="A25" s="19" t="s">
        <v>68</v>
      </c>
      <c r="B25" s="19" t="s">
        <v>198</v>
      </c>
      <c r="C25" s="32" t="s">
        <v>11</v>
      </c>
      <c r="D25" s="32" t="s">
        <v>384</v>
      </c>
      <c r="E25" s="20" t="s">
        <v>388</v>
      </c>
      <c r="F25" s="20" t="s">
        <v>374</v>
      </c>
      <c r="G25" s="33">
        <v>35</v>
      </c>
      <c r="H25" s="34">
        <f>VLOOKUP($C25,'Raw Cost'!$A$1:$B$484,2,FALSE)/G25</f>
        <v>0.8571428571428571</v>
      </c>
      <c r="I25" s="34">
        <f t="shared" si="0"/>
        <v>5.3571428571428568E-2</v>
      </c>
      <c r="J25" s="35">
        <v>10</v>
      </c>
      <c r="K25" s="35">
        <v>0.25</v>
      </c>
      <c r="L25" s="36">
        <f>VLOOKUP($F25,'Packaging Cost'!$A$1:$F$43,6,FALSE)</f>
        <v>0.9</v>
      </c>
      <c r="M25" s="37">
        <f>IF($E25="Snakpak",(($J25*H25)+($K25*'Labor Cost'!$A$2)+L25)+2.25,($J25*H25)+($K25*'Labor Cost'!$A$2)+L25+1)</f>
        <v>16.346428571428572</v>
      </c>
      <c r="N25" s="38">
        <f t="shared" si="1"/>
        <v>20.433035714285715</v>
      </c>
      <c r="O25" s="38">
        <f t="shared" si="2"/>
        <v>21.250357142857144</v>
      </c>
      <c r="P25" s="38">
        <f t="shared" si="3"/>
        <v>22.067678571428573</v>
      </c>
      <c r="Q25" s="38">
        <f t="shared" si="4"/>
        <v>22.884999999999998</v>
      </c>
      <c r="R25" s="38">
        <f t="shared" si="5"/>
        <v>23.702321428571427</v>
      </c>
      <c r="S25" s="38">
        <f t="shared" si="6"/>
        <v>20.5</v>
      </c>
      <c r="T25" s="38">
        <f t="shared" si="7"/>
        <v>21.25</v>
      </c>
      <c r="U25" s="38">
        <f t="shared" si="8"/>
        <v>22</v>
      </c>
      <c r="V25" s="38">
        <f t="shared" si="9"/>
        <v>23</v>
      </c>
      <c r="W25" s="38">
        <f t="shared" si="10"/>
        <v>23.75</v>
      </c>
    </row>
    <row r="26" spans="1:23" ht="21" customHeight="1" x14ac:dyDescent="0.2">
      <c r="A26" s="19" t="s">
        <v>408</v>
      </c>
      <c r="B26" s="19" t="s">
        <v>197</v>
      </c>
      <c r="C26" s="32" t="s">
        <v>11</v>
      </c>
      <c r="D26" s="32" t="s">
        <v>384</v>
      </c>
      <c r="E26" s="20" t="s">
        <v>388</v>
      </c>
      <c r="F26" s="20" t="s">
        <v>369</v>
      </c>
      <c r="G26" s="33">
        <v>35</v>
      </c>
      <c r="H26" s="34">
        <f>VLOOKUP($C26,'Raw Cost'!$A$1:$B$484,2,FALSE)/G26</f>
        <v>0.8571428571428571</v>
      </c>
      <c r="I26" s="34">
        <f t="shared" si="0"/>
        <v>5.3571428571428568E-2</v>
      </c>
      <c r="J26" s="35">
        <v>20</v>
      </c>
      <c r="K26" s="35">
        <v>0.25</v>
      </c>
      <c r="L26" s="36">
        <f>VLOOKUP($F26,'Packaging Cost'!$A$1:$F$43,6,FALSE)</f>
        <v>1.23</v>
      </c>
      <c r="M26" s="37">
        <f>IF($E26="Snakpak",(($J26*H26)+($K26*'Labor Cost'!$A$2)+L26)+2.25,($J26*H26)+($K26*'Labor Cost'!$A$2)+L26+2)</f>
        <v>26.247857142857143</v>
      </c>
      <c r="N26" s="38">
        <f t="shared" si="1"/>
        <v>32.809821428571425</v>
      </c>
      <c r="O26" s="38">
        <f t="shared" si="2"/>
        <v>34.122214285714286</v>
      </c>
      <c r="P26" s="38">
        <f t="shared" si="3"/>
        <v>35.434607142857146</v>
      </c>
      <c r="Q26" s="38">
        <f t="shared" si="4"/>
        <v>36.747</v>
      </c>
      <c r="R26" s="38">
        <f t="shared" si="5"/>
        <v>38.059392857142853</v>
      </c>
      <c r="S26" s="38">
        <f t="shared" si="6"/>
        <v>32.75</v>
      </c>
      <c r="T26" s="38">
        <f t="shared" si="7"/>
        <v>34</v>
      </c>
      <c r="U26" s="38">
        <f t="shared" si="8"/>
        <v>35.5</v>
      </c>
      <c r="V26" s="38">
        <f t="shared" si="9"/>
        <v>36.75</v>
      </c>
      <c r="W26" s="38">
        <f t="shared" si="10"/>
        <v>38</v>
      </c>
    </row>
    <row r="27" spans="1:23" ht="21" customHeight="1" x14ac:dyDescent="0.2">
      <c r="A27" s="19" t="s">
        <v>599</v>
      </c>
      <c r="B27" s="19" t="s">
        <v>198</v>
      </c>
      <c r="C27" s="32" t="s">
        <v>11</v>
      </c>
      <c r="D27" s="32" t="s">
        <v>384</v>
      </c>
      <c r="E27" s="20" t="s">
        <v>388</v>
      </c>
      <c r="F27" s="20" t="s">
        <v>375</v>
      </c>
      <c r="G27" s="33">
        <v>35</v>
      </c>
      <c r="H27" s="34">
        <f>VLOOKUP($C27,'Raw Cost'!$A$1:$B$484,2,FALSE)/G27</f>
        <v>0.8571428571428571</v>
      </c>
      <c r="I27" s="34">
        <f t="shared" si="0"/>
        <v>5.3571428571428568E-2</v>
      </c>
      <c r="J27" s="35">
        <v>4</v>
      </c>
      <c r="K27" s="35">
        <v>0.25</v>
      </c>
      <c r="L27" s="36">
        <f>VLOOKUP($F27,'Packaging Cost'!$A$1:$F$43,6,FALSE)</f>
        <v>0.59</v>
      </c>
      <c r="M27" s="37">
        <f>IF($E27="Snakpak",(($J27*H27)+($K27*'Labor Cost'!$A$2)+L27)+2.25,($J27*H27)+($K27*'Labor Cost'!$A$2)+L27+1)</f>
        <v>10.893571428571429</v>
      </c>
      <c r="N27" s="38">
        <f t="shared" si="1"/>
        <v>13.616964285714285</v>
      </c>
      <c r="O27" s="38">
        <f t="shared" si="2"/>
        <v>14.161642857142859</v>
      </c>
      <c r="P27" s="38">
        <f t="shared" si="3"/>
        <v>14.70632142857143</v>
      </c>
      <c r="Q27" s="38">
        <f t="shared" si="4"/>
        <v>15.250999999999999</v>
      </c>
      <c r="R27" s="38">
        <f t="shared" si="5"/>
        <v>15.795678571428571</v>
      </c>
      <c r="S27" s="38">
        <f t="shared" si="6"/>
        <v>13.5</v>
      </c>
      <c r="T27" s="38">
        <f t="shared" si="7"/>
        <v>14.25</v>
      </c>
      <c r="U27" s="38">
        <f t="shared" si="8"/>
        <v>14.75</v>
      </c>
      <c r="V27" s="38">
        <f t="shared" si="9"/>
        <v>15.25</v>
      </c>
      <c r="W27" s="38">
        <f t="shared" si="10"/>
        <v>15.75</v>
      </c>
    </row>
    <row r="28" spans="1:23" ht="21" customHeight="1" x14ac:dyDescent="0.2">
      <c r="A28" s="19" t="s">
        <v>69</v>
      </c>
      <c r="B28" s="19" t="s">
        <v>199</v>
      </c>
      <c r="C28" s="32" t="s">
        <v>11</v>
      </c>
      <c r="D28" s="32" t="s">
        <v>384</v>
      </c>
      <c r="E28" s="20" t="s">
        <v>388</v>
      </c>
      <c r="F28" s="20" t="s">
        <v>369</v>
      </c>
      <c r="G28" s="33">
        <v>35</v>
      </c>
      <c r="H28" s="34">
        <f>VLOOKUP($C28,'Raw Cost'!$A$1:$B$484,2,FALSE)/G28</f>
        <v>0.8571428571428571</v>
      </c>
      <c r="I28" s="34">
        <f t="shared" si="0"/>
        <v>5.3571428571428568E-2</v>
      </c>
      <c r="J28" s="35">
        <v>20</v>
      </c>
      <c r="K28" s="35">
        <v>0.25</v>
      </c>
      <c r="L28" s="36">
        <f>VLOOKUP($F28,'Packaging Cost'!$A$1:$F$43,6,FALSE)</f>
        <v>1.23</v>
      </c>
      <c r="M28" s="37">
        <f>IF($E28="Snakpak",(($J28*H28)+($K28*'Labor Cost'!$A$2)+L28)+2.25,($J28*H28)+($K28*'Labor Cost'!$A$2)+L28+1)</f>
        <v>25.247857142857143</v>
      </c>
      <c r="N28" s="38">
        <f t="shared" si="1"/>
        <v>31.559821428571428</v>
      </c>
      <c r="O28" s="38">
        <f t="shared" si="2"/>
        <v>32.822214285714288</v>
      </c>
      <c r="P28" s="38">
        <f t="shared" si="3"/>
        <v>34.084607142857145</v>
      </c>
      <c r="Q28" s="38">
        <f t="shared" si="4"/>
        <v>35.346999999999994</v>
      </c>
      <c r="R28" s="38">
        <f t="shared" si="5"/>
        <v>36.609392857142858</v>
      </c>
      <c r="S28" s="38">
        <f t="shared" si="6"/>
        <v>31.5</v>
      </c>
      <c r="T28" s="38">
        <f t="shared" si="7"/>
        <v>32.75</v>
      </c>
      <c r="U28" s="38">
        <f t="shared" si="8"/>
        <v>34</v>
      </c>
      <c r="V28" s="38">
        <f t="shared" si="9"/>
        <v>35.25</v>
      </c>
      <c r="W28" s="38">
        <f t="shared" si="10"/>
        <v>36.5</v>
      </c>
    </row>
    <row r="29" spans="1:23" ht="21" customHeight="1" x14ac:dyDescent="0.2">
      <c r="A29" s="19" t="s">
        <v>1294</v>
      </c>
      <c r="B29" s="19" t="s">
        <v>209</v>
      </c>
      <c r="C29" s="32" t="s">
        <v>11</v>
      </c>
      <c r="D29" s="32" t="s">
        <v>384</v>
      </c>
      <c r="E29" s="20" t="s">
        <v>388</v>
      </c>
      <c r="F29" s="20" t="s">
        <v>374</v>
      </c>
      <c r="G29" s="33">
        <v>35</v>
      </c>
      <c r="H29" s="34">
        <f>VLOOKUP($C29,'Raw Cost'!$A$1:$B$484,2,FALSE)/G29</f>
        <v>0.8571428571428571</v>
      </c>
      <c r="I29" s="34">
        <f t="shared" si="0"/>
        <v>5.3571428571428568E-2</v>
      </c>
      <c r="J29" s="35">
        <v>10</v>
      </c>
      <c r="K29" s="35">
        <v>0.25</v>
      </c>
      <c r="L29" s="36">
        <f>VLOOKUP($F29,'Packaging Cost'!$A$1:$F$43,6,FALSE)</f>
        <v>0.9</v>
      </c>
      <c r="M29" s="37">
        <f>IF($E29="Snakpak",(($J29*H29)+($K29*'Labor Cost'!$A$2)+L29)+2.25,($J29*H29)+($K29*'Labor Cost'!$A$2)+L29+1)</f>
        <v>16.346428571428572</v>
      </c>
      <c r="N29" s="38">
        <f t="shared" si="1"/>
        <v>20.433035714285715</v>
      </c>
      <c r="O29" s="38">
        <f t="shared" si="2"/>
        <v>21.250357142857144</v>
      </c>
      <c r="P29" s="38">
        <f t="shared" si="3"/>
        <v>22.067678571428573</v>
      </c>
      <c r="Q29" s="38">
        <f t="shared" si="4"/>
        <v>22.884999999999998</v>
      </c>
      <c r="R29" s="38">
        <f t="shared" si="5"/>
        <v>23.702321428571427</v>
      </c>
      <c r="S29" s="38">
        <f t="shared" si="6"/>
        <v>20.5</v>
      </c>
      <c r="T29" s="38">
        <f t="shared" si="7"/>
        <v>21.25</v>
      </c>
      <c r="U29" s="38">
        <f t="shared" si="8"/>
        <v>22</v>
      </c>
      <c r="V29" s="38">
        <f t="shared" si="9"/>
        <v>23</v>
      </c>
      <c r="W29" s="38">
        <f t="shared" si="10"/>
        <v>23.75</v>
      </c>
    </row>
    <row r="30" spans="1:23" ht="21" customHeight="1" x14ac:dyDescent="0.2">
      <c r="A30" s="19" t="s">
        <v>524</v>
      </c>
      <c r="B30" s="19" t="s">
        <v>208</v>
      </c>
      <c r="C30" s="32" t="s">
        <v>11</v>
      </c>
      <c r="D30" s="32" t="s">
        <v>384</v>
      </c>
      <c r="E30" s="20" t="s">
        <v>388</v>
      </c>
      <c r="F30" s="20" t="s">
        <v>369</v>
      </c>
      <c r="G30" s="33">
        <v>35</v>
      </c>
      <c r="H30" s="34">
        <f>VLOOKUP($C30,'Raw Cost'!$A$1:$B$484,2,FALSE)/G30</f>
        <v>0.8571428571428571</v>
      </c>
      <c r="I30" s="34">
        <f t="shared" si="0"/>
        <v>5.3571428571428568E-2</v>
      </c>
      <c r="J30" s="35">
        <v>20</v>
      </c>
      <c r="K30" s="35">
        <v>0.25</v>
      </c>
      <c r="L30" s="36">
        <f>VLOOKUP($F30,'Packaging Cost'!$A$1:$F$43,6,FALSE)</f>
        <v>1.23</v>
      </c>
      <c r="M30" s="37">
        <f>IF($E30="Snakpak",(($J30*H30)+($K30*'Labor Cost'!$A$2)+L30)+2.25,($J30*H30)+($K30*'Labor Cost'!$A$2)+L30+1)</f>
        <v>25.247857142857143</v>
      </c>
      <c r="N30" s="38">
        <f t="shared" si="1"/>
        <v>31.559821428571428</v>
      </c>
      <c r="O30" s="38">
        <f t="shared" si="2"/>
        <v>32.822214285714288</v>
      </c>
      <c r="P30" s="38">
        <f t="shared" si="3"/>
        <v>34.084607142857145</v>
      </c>
      <c r="Q30" s="38">
        <f t="shared" si="4"/>
        <v>35.346999999999994</v>
      </c>
      <c r="R30" s="38">
        <f t="shared" si="5"/>
        <v>36.609392857142858</v>
      </c>
      <c r="S30" s="38">
        <f t="shared" si="6"/>
        <v>31.5</v>
      </c>
      <c r="T30" s="38">
        <f t="shared" si="7"/>
        <v>32.75</v>
      </c>
      <c r="U30" s="38">
        <f t="shared" si="8"/>
        <v>34</v>
      </c>
      <c r="V30" s="38">
        <f t="shared" si="9"/>
        <v>35.25</v>
      </c>
      <c r="W30" s="38">
        <f t="shared" si="10"/>
        <v>36.5</v>
      </c>
    </row>
    <row r="31" spans="1:23" ht="21" customHeight="1" x14ac:dyDescent="0.2">
      <c r="A31" s="19" t="s">
        <v>525</v>
      </c>
      <c r="B31" s="19" t="s">
        <v>226</v>
      </c>
      <c r="C31" s="32" t="s">
        <v>11</v>
      </c>
      <c r="D31" s="32" t="s">
        <v>384</v>
      </c>
      <c r="E31" s="20" t="s">
        <v>388</v>
      </c>
      <c r="F31" s="20" t="s">
        <v>374</v>
      </c>
      <c r="G31" s="33">
        <v>35</v>
      </c>
      <c r="H31" s="34">
        <f>VLOOKUP($C31,'Raw Cost'!$A$1:$B$484,2,FALSE)/G31</f>
        <v>0.8571428571428571</v>
      </c>
      <c r="I31" s="34">
        <f t="shared" si="0"/>
        <v>5.3571428571428568E-2</v>
      </c>
      <c r="J31" s="35">
        <v>10</v>
      </c>
      <c r="K31" s="35">
        <v>0.25</v>
      </c>
      <c r="L31" s="36">
        <f>VLOOKUP($F31,'Packaging Cost'!$A$1:$F$43,6,FALSE)</f>
        <v>0.9</v>
      </c>
      <c r="M31" s="37">
        <f>IF($E31="Snakpak",(($J31*H31)+($K31*'Labor Cost'!$A$2)+L31)+2.25,($J31*H31)+($K31*'Labor Cost'!$A$2)+L31+1)</f>
        <v>16.346428571428572</v>
      </c>
      <c r="N31" s="38">
        <f t="shared" si="1"/>
        <v>20.433035714285715</v>
      </c>
      <c r="O31" s="38">
        <f t="shared" si="2"/>
        <v>21.250357142857144</v>
      </c>
      <c r="P31" s="38">
        <f t="shared" si="3"/>
        <v>22.067678571428573</v>
      </c>
      <c r="Q31" s="38">
        <f t="shared" si="4"/>
        <v>22.884999999999998</v>
      </c>
      <c r="R31" s="38">
        <f t="shared" si="5"/>
        <v>23.702321428571427</v>
      </c>
      <c r="S31" s="38">
        <f t="shared" si="6"/>
        <v>20.5</v>
      </c>
      <c r="T31" s="38">
        <f t="shared" si="7"/>
        <v>21.25</v>
      </c>
      <c r="U31" s="38">
        <f t="shared" si="8"/>
        <v>22</v>
      </c>
      <c r="V31" s="38">
        <f t="shared" si="9"/>
        <v>23</v>
      </c>
      <c r="W31" s="38">
        <f t="shared" si="10"/>
        <v>23.75</v>
      </c>
    </row>
    <row r="32" spans="1:23" ht="21" customHeight="1" x14ac:dyDescent="0.2">
      <c r="A32" s="19" t="s">
        <v>526</v>
      </c>
      <c r="B32" s="19" t="s">
        <v>196</v>
      </c>
      <c r="C32" s="32" t="s">
        <v>11</v>
      </c>
      <c r="D32" s="32" t="s">
        <v>384</v>
      </c>
      <c r="E32" s="20" t="s">
        <v>388</v>
      </c>
      <c r="F32" s="20" t="s">
        <v>369</v>
      </c>
      <c r="G32" s="33">
        <v>35</v>
      </c>
      <c r="H32" s="34">
        <f>VLOOKUP($C32,'Raw Cost'!$A$1:$B$484,2,FALSE)/G32</f>
        <v>0.8571428571428571</v>
      </c>
      <c r="I32" s="34">
        <f t="shared" si="0"/>
        <v>5.3571428571428568E-2</v>
      </c>
      <c r="J32" s="35">
        <v>20</v>
      </c>
      <c r="K32" s="35">
        <v>0.25</v>
      </c>
      <c r="L32" s="36">
        <f>VLOOKUP($F32,'Packaging Cost'!$A$1:$F$43,6,FALSE)</f>
        <v>1.23</v>
      </c>
      <c r="M32" s="37">
        <f>IF($E32="Snakpak",(($J32*H32)+($K32*'Labor Cost'!$A$2)+L32)+2.25,($J32*H32)+($K32*'Labor Cost'!$A$2)+L32+1)</f>
        <v>25.247857142857143</v>
      </c>
      <c r="N32" s="38">
        <f t="shared" si="1"/>
        <v>31.559821428571428</v>
      </c>
      <c r="O32" s="38">
        <f t="shared" si="2"/>
        <v>32.822214285714288</v>
      </c>
      <c r="P32" s="38">
        <f t="shared" si="3"/>
        <v>34.084607142857145</v>
      </c>
      <c r="Q32" s="38">
        <f t="shared" si="4"/>
        <v>35.346999999999994</v>
      </c>
      <c r="R32" s="38">
        <f t="shared" si="5"/>
        <v>36.609392857142858</v>
      </c>
      <c r="S32" s="38">
        <f t="shared" si="6"/>
        <v>31.5</v>
      </c>
      <c r="T32" s="38">
        <f t="shared" si="7"/>
        <v>32.75</v>
      </c>
      <c r="U32" s="38">
        <f t="shared" si="8"/>
        <v>34</v>
      </c>
      <c r="V32" s="38">
        <f t="shared" si="9"/>
        <v>35.25</v>
      </c>
      <c r="W32" s="38">
        <f t="shared" si="10"/>
        <v>36.5</v>
      </c>
    </row>
    <row r="33" spans="1:23" ht="21" customHeight="1" x14ac:dyDescent="0.2">
      <c r="A33" s="19" t="s">
        <v>527</v>
      </c>
      <c r="B33" s="19" t="s">
        <v>271</v>
      </c>
      <c r="C33" s="32" t="s">
        <v>11</v>
      </c>
      <c r="D33" s="32" t="s">
        <v>384</v>
      </c>
      <c r="E33" s="20" t="s">
        <v>388</v>
      </c>
      <c r="F33" s="20" t="s">
        <v>369</v>
      </c>
      <c r="G33" s="33">
        <v>38</v>
      </c>
      <c r="H33" s="34">
        <f>VLOOKUP($C33,'Raw Cost'!$A$1:$B$484,2,FALSE)/G33</f>
        <v>0.78947368421052633</v>
      </c>
      <c r="I33" s="34">
        <f t="shared" si="0"/>
        <v>4.9342105263157895E-2</v>
      </c>
      <c r="J33" s="35">
        <v>20</v>
      </c>
      <c r="K33" s="35">
        <v>0.25</v>
      </c>
      <c r="L33" s="36">
        <f>VLOOKUP($F33,'Packaging Cost'!$A$1:$F$43,6,FALSE)</f>
        <v>1.23</v>
      </c>
      <c r="M33" s="37">
        <f>IF($E33="Snakpak",(($J33*H33)+($K33*'Labor Cost'!$A$2)+L33)+2.25,($J33*H33)+($K33*'Labor Cost'!$A$2)+L33+1)</f>
        <v>23.894473684210528</v>
      </c>
      <c r="N33" s="38">
        <f t="shared" si="1"/>
        <v>29.868092105263159</v>
      </c>
      <c r="O33" s="38">
        <f t="shared" si="2"/>
        <v>31.062815789473689</v>
      </c>
      <c r="P33" s="38">
        <f t="shared" si="3"/>
        <v>32.257539473684211</v>
      </c>
      <c r="Q33" s="38">
        <f t="shared" si="4"/>
        <v>33.452263157894734</v>
      </c>
      <c r="R33" s="38">
        <f t="shared" si="5"/>
        <v>34.646986842105264</v>
      </c>
      <c r="S33" s="38">
        <f t="shared" si="6"/>
        <v>29.75</v>
      </c>
      <c r="T33" s="38">
        <f t="shared" si="7"/>
        <v>31</v>
      </c>
      <c r="U33" s="38">
        <f t="shared" si="8"/>
        <v>32.25</v>
      </c>
      <c r="V33" s="38">
        <f t="shared" si="9"/>
        <v>33.5</v>
      </c>
      <c r="W33" s="38">
        <f t="shared" si="10"/>
        <v>34.75</v>
      </c>
    </row>
    <row r="34" spans="1:23" ht="21" customHeight="1" x14ac:dyDescent="0.2">
      <c r="A34" s="19" t="s">
        <v>528</v>
      </c>
      <c r="B34" s="19" t="s">
        <v>215</v>
      </c>
      <c r="C34" s="32" t="s">
        <v>14</v>
      </c>
      <c r="D34" s="32" t="s">
        <v>384</v>
      </c>
      <c r="E34" s="20" t="s">
        <v>388</v>
      </c>
      <c r="F34" s="20" t="s">
        <v>369</v>
      </c>
      <c r="G34" s="33">
        <v>16</v>
      </c>
      <c r="H34" s="34">
        <f>VLOOKUP($C34,'Raw Cost'!$A$1:$B$484,2,FALSE)/G34</f>
        <v>2.3187500000000001</v>
      </c>
      <c r="I34" s="34">
        <f t="shared" ref="I34:I65" si="11">H34/16</f>
        <v>0.14492187500000001</v>
      </c>
      <c r="J34" s="35">
        <v>12</v>
      </c>
      <c r="K34" s="35">
        <v>0.25</v>
      </c>
      <c r="L34" s="36">
        <f>VLOOKUP($F34,'Packaging Cost'!$A$1:$F$43,6,FALSE)</f>
        <v>1.23</v>
      </c>
      <c r="M34" s="37">
        <f>IF($E34="Snakpak",(($J34*H34)+($K34*'Labor Cost'!$A$2)+L34)+2.25,($J34*H34)+($K34*'Labor Cost'!$A$2)+L34+1)</f>
        <v>35.93</v>
      </c>
      <c r="N34" s="38">
        <f t="shared" ref="N34:N65" si="12">IF($D34="No",$M34*1.25,($M34*1.25)+15)</f>
        <v>44.912500000000001</v>
      </c>
      <c r="O34" s="38">
        <f t="shared" ref="O34:O65" si="13">IF($D34="No",$M34*1.3,($M34*1.3)+15)</f>
        <v>46.709000000000003</v>
      </c>
      <c r="P34" s="38">
        <f t="shared" ref="P34:P65" si="14">IF($D34="No",$M34*1.35,($M34*1.35)+15)</f>
        <v>48.505500000000005</v>
      </c>
      <c r="Q34" s="38">
        <f t="shared" ref="Q34:Q65" si="15">IF($D34="No",$M34*1.4,($M34*1.4)+15)</f>
        <v>50.302</v>
      </c>
      <c r="R34" s="38">
        <f t="shared" ref="R34:R65" si="16">IF($D34="No",$M34*1.45,($M34*1.45)+15)</f>
        <v>52.098500000000001</v>
      </c>
      <c r="S34" s="38">
        <f t="shared" ref="S34:S65" si="17">MROUND(N34,0.25)</f>
        <v>45</v>
      </c>
      <c r="T34" s="38">
        <f t="shared" ref="T34:T65" si="18">MROUND(O34,0.25)</f>
        <v>46.75</v>
      </c>
      <c r="U34" s="38">
        <f t="shared" ref="U34:U65" si="19">MROUND(P34,0.25)</f>
        <v>48.5</v>
      </c>
      <c r="V34" s="38">
        <f t="shared" ref="V34:V65" si="20">MROUND(Q34,0.25)</f>
        <v>50.25</v>
      </c>
      <c r="W34" s="38">
        <f t="shared" ref="W34:W65" si="21">MROUND(R34,0.25)</f>
        <v>52</v>
      </c>
    </row>
    <row r="35" spans="1:23" ht="21" customHeight="1" x14ac:dyDescent="0.2">
      <c r="A35" s="19" t="s">
        <v>596</v>
      </c>
      <c r="B35" s="19" t="s">
        <v>215</v>
      </c>
      <c r="C35" s="32" t="s">
        <v>1031</v>
      </c>
      <c r="D35" s="32" t="s">
        <v>384</v>
      </c>
      <c r="E35" s="20" t="s">
        <v>388</v>
      </c>
      <c r="F35" s="20" t="s">
        <v>393</v>
      </c>
      <c r="G35" s="33">
        <v>4</v>
      </c>
      <c r="H35" s="34">
        <f>VLOOKUP($C35,'Raw Cost'!$A$1:$B$484,2,FALSE)/G35</f>
        <v>11</v>
      </c>
      <c r="I35" s="34">
        <f t="shared" si="11"/>
        <v>0.6875</v>
      </c>
      <c r="J35" s="35">
        <v>12</v>
      </c>
      <c r="K35" s="35">
        <v>0.25</v>
      </c>
      <c r="L35" s="36">
        <f>VLOOKUP($F35,'Packaging Cost'!$A$1:$F$43,6,FALSE)</f>
        <v>1.1500000000000001</v>
      </c>
      <c r="M35" s="37">
        <f>IF($E35="Snakpak",(($J35*H35)+($K35*'Labor Cost'!$A$2)+L35)+2.25,($J35*H35)+($K35*'Labor Cost'!$A$2)+L35+1)</f>
        <v>140.02500000000001</v>
      </c>
      <c r="N35" s="38">
        <f t="shared" si="12"/>
        <v>175.03125</v>
      </c>
      <c r="O35" s="38">
        <f t="shared" si="13"/>
        <v>182.03250000000003</v>
      </c>
      <c r="P35" s="38">
        <f t="shared" si="14"/>
        <v>189.03375000000003</v>
      </c>
      <c r="Q35" s="38">
        <f t="shared" si="15"/>
        <v>196.035</v>
      </c>
      <c r="R35" s="38">
        <f t="shared" si="16"/>
        <v>203.03625</v>
      </c>
      <c r="S35" s="38">
        <f t="shared" si="17"/>
        <v>175</v>
      </c>
      <c r="T35" s="38">
        <f t="shared" si="18"/>
        <v>182</v>
      </c>
      <c r="U35" s="38">
        <f t="shared" si="19"/>
        <v>189</v>
      </c>
      <c r="V35" s="38">
        <f t="shared" si="20"/>
        <v>196</v>
      </c>
      <c r="W35" s="38">
        <f t="shared" si="21"/>
        <v>203</v>
      </c>
    </row>
    <row r="36" spans="1:23" ht="21" customHeight="1" x14ac:dyDescent="0.2">
      <c r="A36" s="19" t="s">
        <v>529</v>
      </c>
      <c r="B36" s="19" t="s">
        <v>214</v>
      </c>
      <c r="C36" s="32" t="s">
        <v>15</v>
      </c>
      <c r="D36" s="32" t="s">
        <v>384</v>
      </c>
      <c r="E36" s="20" t="s">
        <v>388</v>
      </c>
      <c r="F36" s="20" t="s">
        <v>369</v>
      </c>
      <c r="G36" s="33">
        <v>32</v>
      </c>
      <c r="H36" s="34">
        <f>VLOOKUP($C36,'Raw Cost'!$A$1:$B$484,2,FALSE)/G36</f>
        <v>0.9375</v>
      </c>
      <c r="I36" s="34">
        <f t="shared" si="11"/>
        <v>5.859375E-2</v>
      </c>
      <c r="J36" s="35">
        <v>20</v>
      </c>
      <c r="K36" s="35">
        <v>0.25</v>
      </c>
      <c r="L36" s="36">
        <f>VLOOKUP($F36,'Packaging Cost'!$A$1:$F$43,6,FALSE)</f>
        <v>1.23</v>
      </c>
      <c r="M36" s="37">
        <f>IF($E36="Snakpak",(($J36*H36)+($K36*'Labor Cost'!$A$2)+L36)+2.25,($J36*H36)+($K36*'Labor Cost'!$A$2)+L36+2)</f>
        <v>27.855</v>
      </c>
      <c r="N36" s="38">
        <f t="shared" si="12"/>
        <v>34.818750000000001</v>
      </c>
      <c r="O36" s="38">
        <f t="shared" si="13"/>
        <v>36.211500000000001</v>
      </c>
      <c r="P36" s="38">
        <f t="shared" si="14"/>
        <v>37.60425</v>
      </c>
      <c r="Q36" s="38">
        <f t="shared" si="15"/>
        <v>38.997</v>
      </c>
      <c r="R36" s="38">
        <f t="shared" si="16"/>
        <v>40.389749999999999</v>
      </c>
      <c r="S36" s="38">
        <f t="shared" si="17"/>
        <v>34.75</v>
      </c>
      <c r="T36" s="38">
        <f t="shared" si="18"/>
        <v>36.25</v>
      </c>
      <c r="U36" s="38">
        <f t="shared" si="19"/>
        <v>37.5</v>
      </c>
      <c r="V36" s="38">
        <f t="shared" si="20"/>
        <v>39</v>
      </c>
      <c r="W36" s="38">
        <f t="shared" si="21"/>
        <v>40.5</v>
      </c>
    </row>
    <row r="37" spans="1:23" ht="21" customHeight="1" x14ac:dyDescent="0.2">
      <c r="A37" s="19" t="s">
        <v>530</v>
      </c>
      <c r="B37" s="19" t="s">
        <v>213</v>
      </c>
      <c r="C37" s="32" t="s">
        <v>15</v>
      </c>
      <c r="D37" s="32" t="s">
        <v>384</v>
      </c>
      <c r="E37" s="20" t="s">
        <v>388</v>
      </c>
      <c r="F37" s="20" t="s">
        <v>374</v>
      </c>
      <c r="G37" s="33">
        <v>32</v>
      </c>
      <c r="H37" s="34">
        <f>VLOOKUP($C37,'Raw Cost'!$A$1:$B$484,2,FALSE)/G37</f>
        <v>0.9375</v>
      </c>
      <c r="I37" s="34">
        <f t="shared" si="11"/>
        <v>5.859375E-2</v>
      </c>
      <c r="J37" s="35">
        <v>10</v>
      </c>
      <c r="K37" s="35">
        <v>0.25</v>
      </c>
      <c r="L37" s="36">
        <f>VLOOKUP($F37,'Packaging Cost'!$A$1:$F$43,6,FALSE)</f>
        <v>0.9</v>
      </c>
      <c r="M37" s="37">
        <f>IF($E37="Snakpak",(($J37*H37)+($K37*'Labor Cost'!$A$2)+L37)+2.25,($J37*H37)+($K37*'Labor Cost'!$A$2)+L37+1)</f>
        <v>17.149999999999999</v>
      </c>
      <c r="N37" s="38">
        <f t="shared" si="12"/>
        <v>21.4375</v>
      </c>
      <c r="O37" s="38">
        <f t="shared" si="13"/>
        <v>22.294999999999998</v>
      </c>
      <c r="P37" s="38">
        <f t="shared" si="14"/>
        <v>23.1525</v>
      </c>
      <c r="Q37" s="38">
        <f t="shared" si="15"/>
        <v>24.009999999999998</v>
      </c>
      <c r="R37" s="38">
        <f t="shared" si="16"/>
        <v>24.867499999999996</v>
      </c>
      <c r="S37" s="38">
        <f t="shared" si="17"/>
        <v>21.5</v>
      </c>
      <c r="T37" s="38">
        <f t="shared" si="18"/>
        <v>22.25</v>
      </c>
      <c r="U37" s="38">
        <f t="shared" si="19"/>
        <v>23.25</v>
      </c>
      <c r="V37" s="38">
        <f t="shared" si="20"/>
        <v>24</v>
      </c>
      <c r="W37" s="38">
        <f t="shared" si="21"/>
        <v>24.75</v>
      </c>
    </row>
    <row r="38" spans="1:23" ht="21" customHeight="1" x14ac:dyDescent="0.2">
      <c r="A38" s="19" t="s">
        <v>531</v>
      </c>
      <c r="B38" s="19" t="s">
        <v>212</v>
      </c>
      <c r="C38" s="32" t="s">
        <v>15</v>
      </c>
      <c r="D38" s="32" t="s">
        <v>384</v>
      </c>
      <c r="E38" s="20" t="s">
        <v>388</v>
      </c>
      <c r="F38" s="20" t="s">
        <v>369</v>
      </c>
      <c r="G38" s="33">
        <v>32</v>
      </c>
      <c r="H38" s="34">
        <f>VLOOKUP($C38,'Raw Cost'!$A$1:$B$484,2,FALSE)/G38</f>
        <v>0.9375</v>
      </c>
      <c r="I38" s="34">
        <f t="shared" si="11"/>
        <v>5.859375E-2</v>
      </c>
      <c r="J38" s="35">
        <v>20</v>
      </c>
      <c r="K38" s="35">
        <v>0.25</v>
      </c>
      <c r="L38" s="36">
        <f>VLOOKUP($F38,'Packaging Cost'!$A$1:$F$43,6,FALSE)</f>
        <v>1.23</v>
      </c>
      <c r="M38" s="37">
        <f>IF($E38="Snakpak",(($J38*H38)+($K38*'Labor Cost'!$A$2)+L38)+2.25,($J38*H38)+($K38*'Labor Cost'!$A$2)+L38+1)</f>
        <v>26.855</v>
      </c>
      <c r="N38" s="38">
        <f t="shared" si="12"/>
        <v>33.568750000000001</v>
      </c>
      <c r="O38" s="38">
        <f t="shared" si="13"/>
        <v>34.911500000000004</v>
      </c>
      <c r="P38" s="38">
        <f t="shared" si="14"/>
        <v>36.254250000000006</v>
      </c>
      <c r="Q38" s="38">
        <f t="shared" si="15"/>
        <v>37.597000000000001</v>
      </c>
      <c r="R38" s="38">
        <f t="shared" si="16"/>
        <v>38.939749999999997</v>
      </c>
      <c r="S38" s="38">
        <f t="shared" si="17"/>
        <v>33.5</v>
      </c>
      <c r="T38" s="38">
        <f t="shared" si="18"/>
        <v>35</v>
      </c>
      <c r="U38" s="38">
        <f t="shared" si="19"/>
        <v>36.25</v>
      </c>
      <c r="V38" s="38">
        <f t="shared" si="20"/>
        <v>37.5</v>
      </c>
      <c r="W38" s="38">
        <f t="shared" si="21"/>
        <v>39</v>
      </c>
    </row>
    <row r="39" spans="1:23" ht="21" customHeight="1" x14ac:dyDescent="0.2">
      <c r="A39" s="19" t="s">
        <v>1043</v>
      </c>
      <c r="B39" s="19" t="s">
        <v>212</v>
      </c>
      <c r="C39" s="32" t="s">
        <v>1036</v>
      </c>
      <c r="D39" s="32" t="s">
        <v>384</v>
      </c>
      <c r="E39" s="20" t="s">
        <v>388</v>
      </c>
      <c r="F39" s="20" t="s">
        <v>374</v>
      </c>
      <c r="G39" s="33">
        <v>20</v>
      </c>
      <c r="H39" s="34">
        <f>VLOOKUP($C39,'Raw Cost'!$A$1:$B$484,2,FALSE)/G39</f>
        <v>1.7</v>
      </c>
      <c r="I39" s="34">
        <f t="shared" si="11"/>
        <v>0.10625</v>
      </c>
      <c r="J39" s="35">
        <v>10</v>
      </c>
      <c r="K39" s="35">
        <v>0.25</v>
      </c>
      <c r="L39" s="36">
        <f>VLOOKUP($F39,'Packaging Cost'!$A$1:$F$43,6,FALSE)</f>
        <v>0.9</v>
      </c>
      <c r="M39" s="37">
        <f>IF($E39="Snakpak",(($J39*H39)+($K39*'Labor Cost'!$A$2)+L39)+2.25,($J39*H39)+($K39*'Labor Cost'!$A$2)+L39+1)</f>
        <v>24.774999999999999</v>
      </c>
      <c r="N39" s="38">
        <f t="shared" si="12"/>
        <v>30.96875</v>
      </c>
      <c r="O39" s="38">
        <f t="shared" si="13"/>
        <v>32.207499999999996</v>
      </c>
      <c r="P39" s="38">
        <f t="shared" si="14"/>
        <v>33.446249999999999</v>
      </c>
      <c r="Q39" s="38">
        <f t="shared" si="15"/>
        <v>34.684999999999995</v>
      </c>
      <c r="R39" s="38">
        <f t="shared" si="16"/>
        <v>35.923749999999998</v>
      </c>
      <c r="S39" s="38">
        <f t="shared" si="17"/>
        <v>31</v>
      </c>
      <c r="T39" s="38">
        <f t="shared" si="18"/>
        <v>32.25</v>
      </c>
      <c r="U39" s="38">
        <f t="shared" si="19"/>
        <v>33.5</v>
      </c>
      <c r="V39" s="38">
        <f t="shared" si="20"/>
        <v>34.75</v>
      </c>
      <c r="W39" s="38">
        <f t="shared" si="21"/>
        <v>36</v>
      </c>
    </row>
    <row r="40" spans="1:23" ht="21" customHeight="1" x14ac:dyDescent="0.2">
      <c r="A40" s="19" t="s">
        <v>1042</v>
      </c>
      <c r="B40" s="19" t="s">
        <v>212</v>
      </c>
      <c r="C40" s="32" t="s">
        <v>15</v>
      </c>
      <c r="D40" s="32" t="s">
        <v>384</v>
      </c>
      <c r="E40" s="20" t="s">
        <v>388</v>
      </c>
      <c r="F40" s="20" t="s">
        <v>374</v>
      </c>
      <c r="G40" s="33">
        <v>32</v>
      </c>
      <c r="H40" s="34">
        <f>VLOOKUP($C40,'Raw Cost'!$A$1:$B$484,2,FALSE)/G40</f>
        <v>0.9375</v>
      </c>
      <c r="I40" s="34">
        <f t="shared" si="11"/>
        <v>5.859375E-2</v>
      </c>
      <c r="J40" s="35">
        <v>10</v>
      </c>
      <c r="K40" s="35">
        <v>0.25</v>
      </c>
      <c r="L40" s="36">
        <f>VLOOKUP($F40,'Packaging Cost'!$A$1:$F$43,6,FALSE)</f>
        <v>0.9</v>
      </c>
      <c r="M40" s="37">
        <f>IF($E40="Snakpak",(($J40*H40)+($K40*'Labor Cost'!$A$2)+L40)+2.25,($J40*H40)+($K40*'Labor Cost'!$A$2)+L40+1)</f>
        <v>17.149999999999999</v>
      </c>
      <c r="N40" s="38">
        <f t="shared" si="12"/>
        <v>21.4375</v>
      </c>
      <c r="O40" s="38">
        <f t="shared" si="13"/>
        <v>22.294999999999998</v>
      </c>
      <c r="P40" s="38">
        <f t="shared" si="14"/>
        <v>23.1525</v>
      </c>
      <c r="Q40" s="38">
        <f t="shared" si="15"/>
        <v>24.009999999999998</v>
      </c>
      <c r="R40" s="38">
        <f t="shared" si="16"/>
        <v>24.867499999999996</v>
      </c>
      <c r="S40" s="38">
        <f t="shared" si="17"/>
        <v>21.5</v>
      </c>
      <c r="T40" s="38">
        <f t="shared" si="18"/>
        <v>22.25</v>
      </c>
      <c r="U40" s="38">
        <f t="shared" si="19"/>
        <v>23.25</v>
      </c>
      <c r="V40" s="38">
        <f t="shared" si="20"/>
        <v>24</v>
      </c>
      <c r="W40" s="38">
        <f t="shared" si="21"/>
        <v>24.75</v>
      </c>
    </row>
    <row r="41" spans="1:23" ht="21" customHeight="1" x14ac:dyDescent="0.2">
      <c r="A41" s="19" t="s">
        <v>577</v>
      </c>
      <c r="B41" s="19" t="s">
        <v>578</v>
      </c>
      <c r="C41" s="20" t="s">
        <v>579</v>
      </c>
      <c r="D41" s="20" t="s">
        <v>384</v>
      </c>
      <c r="E41" s="20" t="s">
        <v>388</v>
      </c>
      <c r="F41" s="20" t="s">
        <v>398</v>
      </c>
      <c r="G41" s="33">
        <v>10</v>
      </c>
      <c r="H41" s="34">
        <f>VLOOKUP($C41,'Raw Cost'!$A$1:$B$484,2,FALSE)/G41</f>
        <v>4.4000000000000004</v>
      </c>
      <c r="I41" s="34">
        <f t="shared" si="11"/>
        <v>0.27500000000000002</v>
      </c>
      <c r="J41" s="35">
        <v>10</v>
      </c>
      <c r="K41" s="35">
        <v>0.27</v>
      </c>
      <c r="L41" s="36">
        <f>VLOOKUP($F41,'Packaging Cost'!$A$1:$F$43,6,FALSE)</f>
        <v>2.52</v>
      </c>
      <c r="M41" s="37">
        <f>IF($E41="Snakpak",(($J41*H41)+($K41*'Labor Cost'!$A$2)+L41)+2.25,($J41*H41)+($K41*'Labor Cost'!$A$2)+L41+1)</f>
        <v>53.865000000000002</v>
      </c>
      <c r="N41" s="38">
        <f t="shared" si="12"/>
        <v>67.331249999999997</v>
      </c>
      <c r="O41" s="38">
        <f t="shared" si="13"/>
        <v>70.024500000000003</v>
      </c>
      <c r="P41" s="38">
        <f t="shared" si="14"/>
        <v>72.717750000000009</v>
      </c>
      <c r="Q41" s="38">
        <f t="shared" si="15"/>
        <v>75.411000000000001</v>
      </c>
      <c r="R41" s="38">
        <f t="shared" si="16"/>
        <v>78.104250000000008</v>
      </c>
      <c r="S41" s="38">
        <f t="shared" si="17"/>
        <v>67.25</v>
      </c>
      <c r="T41" s="38">
        <f t="shared" si="18"/>
        <v>70</v>
      </c>
      <c r="U41" s="38">
        <f t="shared" si="19"/>
        <v>72.75</v>
      </c>
      <c r="V41" s="38">
        <f t="shared" si="20"/>
        <v>75.5</v>
      </c>
      <c r="W41" s="38">
        <f t="shared" si="21"/>
        <v>78</v>
      </c>
    </row>
    <row r="42" spans="1:23" ht="21" customHeight="1" x14ac:dyDescent="0.2">
      <c r="A42" s="21" t="s">
        <v>532</v>
      </c>
      <c r="B42" s="19" t="s">
        <v>434</v>
      </c>
      <c r="C42" s="20" t="s">
        <v>435</v>
      </c>
      <c r="D42" s="20" t="s">
        <v>384</v>
      </c>
      <c r="E42" s="20" t="s">
        <v>388</v>
      </c>
      <c r="F42" s="20" t="s">
        <v>393</v>
      </c>
      <c r="G42" s="33">
        <v>12</v>
      </c>
      <c r="H42" s="34">
        <f>VLOOKUP($C42,'Raw Cost'!$A$1:$B$484,2,FALSE)/G42</f>
        <v>1.6666666666666667</v>
      </c>
      <c r="I42" s="34">
        <f t="shared" si="11"/>
        <v>0.10416666666666667</v>
      </c>
      <c r="J42" s="35">
        <v>4</v>
      </c>
      <c r="K42" s="35">
        <v>0.27</v>
      </c>
      <c r="L42" s="36">
        <f>VLOOKUP($F42,'Packaging Cost'!$A$1:$F$43,6,FALSE)</f>
        <v>1.1500000000000001</v>
      </c>
      <c r="M42" s="37">
        <f>IF($E42="Snakpak",(($J42*H42)+($K42*'Labor Cost'!$A$2)+L42)+2.25,($J42*H42)+($K42*'Labor Cost'!$A$2)+L42+1)</f>
        <v>15.161666666666667</v>
      </c>
      <c r="N42" s="38">
        <f t="shared" si="12"/>
        <v>18.952083333333334</v>
      </c>
      <c r="O42" s="38">
        <f t="shared" si="13"/>
        <v>19.710166666666669</v>
      </c>
      <c r="P42" s="38">
        <f t="shared" si="14"/>
        <v>20.468250000000001</v>
      </c>
      <c r="Q42" s="38">
        <f t="shared" si="15"/>
        <v>21.226333333333333</v>
      </c>
      <c r="R42" s="38">
        <f t="shared" si="16"/>
        <v>21.984416666666668</v>
      </c>
      <c r="S42" s="38">
        <f t="shared" si="17"/>
        <v>19</v>
      </c>
      <c r="T42" s="38">
        <f t="shared" si="18"/>
        <v>19.75</v>
      </c>
      <c r="U42" s="38">
        <f t="shared" si="19"/>
        <v>20.5</v>
      </c>
      <c r="V42" s="38">
        <f t="shared" si="20"/>
        <v>21.25</v>
      </c>
      <c r="W42" s="38">
        <f t="shared" si="21"/>
        <v>22</v>
      </c>
    </row>
    <row r="43" spans="1:23" ht="21" customHeight="1" x14ac:dyDescent="0.2">
      <c r="A43" s="19" t="s">
        <v>533</v>
      </c>
      <c r="B43" s="19" t="s">
        <v>315</v>
      </c>
      <c r="C43" s="20" t="s">
        <v>7</v>
      </c>
      <c r="D43" s="20" t="s">
        <v>384</v>
      </c>
      <c r="E43" s="20" t="s">
        <v>388</v>
      </c>
      <c r="F43" s="20" t="s">
        <v>369</v>
      </c>
      <c r="G43" s="33">
        <v>35</v>
      </c>
      <c r="H43" s="34">
        <f>VLOOKUP($C43,'Raw Cost'!$A$1:$B$484,2,FALSE)/G43</f>
        <v>0.48571428571428571</v>
      </c>
      <c r="I43" s="34">
        <f t="shared" si="11"/>
        <v>3.0357142857142857E-2</v>
      </c>
      <c r="J43" s="35">
        <v>20</v>
      </c>
      <c r="K43" s="35">
        <v>0.25</v>
      </c>
      <c r="L43" s="36">
        <f>VLOOKUP($F43,'Packaging Cost'!$A$1:$F$43,6,FALSE)</f>
        <v>1.23</v>
      </c>
      <c r="M43" s="37">
        <f>IF($E43="Snakpak",(($J43*H43)+($K43*'Labor Cost'!$A$2)+L43)+2.25,($J43*H43)+($K43*'Labor Cost'!$A$2)+L43+1)</f>
        <v>17.819285714285712</v>
      </c>
      <c r="N43" s="38">
        <f t="shared" si="12"/>
        <v>22.27410714285714</v>
      </c>
      <c r="O43" s="38">
        <f t="shared" si="13"/>
        <v>23.165071428571427</v>
      </c>
      <c r="P43" s="38">
        <f t="shared" si="14"/>
        <v>24.056035714285713</v>
      </c>
      <c r="Q43" s="38">
        <f t="shared" si="15"/>
        <v>24.946999999999996</v>
      </c>
      <c r="R43" s="38">
        <f t="shared" si="16"/>
        <v>25.837964285714282</v>
      </c>
      <c r="S43" s="38">
        <f t="shared" si="17"/>
        <v>22.25</v>
      </c>
      <c r="T43" s="38">
        <f t="shared" si="18"/>
        <v>23.25</v>
      </c>
      <c r="U43" s="38">
        <f t="shared" si="19"/>
        <v>24</v>
      </c>
      <c r="V43" s="38">
        <f t="shared" si="20"/>
        <v>25</v>
      </c>
      <c r="W43" s="38">
        <f t="shared" si="21"/>
        <v>25.75</v>
      </c>
    </row>
    <row r="44" spans="1:23" ht="21" customHeight="1" x14ac:dyDescent="0.2">
      <c r="A44" s="19" t="s">
        <v>534</v>
      </c>
      <c r="B44" s="19" t="s">
        <v>316</v>
      </c>
      <c r="C44" s="20" t="s">
        <v>7</v>
      </c>
      <c r="D44" s="20" t="s">
        <v>384</v>
      </c>
      <c r="E44" s="20" t="s">
        <v>388</v>
      </c>
      <c r="F44" s="20" t="s">
        <v>369</v>
      </c>
      <c r="G44" s="33">
        <v>35</v>
      </c>
      <c r="H44" s="34">
        <f>VLOOKUP($C44,'Raw Cost'!$A$1:$B$484,2,FALSE)/G44</f>
        <v>0.48571428571428571</v>
      </c>
      <c r="I44" s="34">
        <f t="shared" si="11"/>
        <v>3.0357142857142857E-2</v>
      </c>
      <c r="J44" s="35">
        <v>20</v>
      </c>
      <c r="K44" s="35">
        <v>0.25</v>
      </c>
      <c r="L44" s="36">
        <f>VLOOKUP($F44,'Packaging Cost'!$A$1:$F$43,6,FALSE)</f>
        <v>1.23</v>
      </c>
      <c r="M44" s="37">
        <f>IF($E44="Snakpak",(($J44*H44)+($K44*'Labor Cost'!$A$2)+L44)+2.25,($J44*H44)+($K44*'Labor Cost'!$A$2)+L44+1)</f>
        <v>17.819285714285712</v>
      </c>
      <c r="N44" s="38">
        <f t="shared" si="12"/>
        <v>22.27410714285714</v>
      </c>
      <c r="O44" s="38">
        <f t="shared" si="13"/>
        <v>23.165071428571427</v>
      </c>
      <c r="P44" s="38">
        <f t="shared" si="14"/>
        <v>24.056035714285713</v>
      </c>
      <c r="Q44" s="38">
        <f t="shared" si="15"/>
        <v>24.946999999999996</v>
      </c>
      <c r="R44" s="38">
        <f t="shared" si="16"/>
        <v>25.837964285714282</v>
      </c>
      <c r="S44" s="38">
        <f t="shared" si="17"/>
        <v>22.25</v>
      </c>
      <c r="T44" s="38">
        <f t="shared" si="18"/>
        <v>23.25</v>
      </c>
      <c r="U44" s="38">
        <f t="shared" si="19"/>
        <v>24</v>
      </c>
      <c r="V44" s="38">
        <f t="shared" si="20"/>
        <v>25</v>
      </c>
      <c r="W44" s="38">
        <f t="shared" si="21"/>
        <v>25.75</v>
      </c>
    </row>
    <row r="45" spans="1:23" ht="21" customHeight="1" x14ac:dyDescent="0.2">
      <c r="A45" s="21" t="s">
        <v>535</v>
      </c>
      <c r="B45" s="19" t="s">
        <v>314</v>
      </c>
      <c r="C45" s="20" t="s">
        <v>9</v>
      </c>
      <c r="D45" s="20" t="s">
        <v>384</v>
      </c>
      <c r="E45" s="20" t="s">
        <v>388</v>
      </c>
      <c r="F45" s="20" t="s">
        <v>374</v>
      </c>
      <c r="G45" s="33">
        <v>15</v>
      </c>
      <c r="H45" s="34">
        <f>VLOOKUP($C45,'Raw Cost'!$A$1:$B$484,2,FALSE)/G45</f>
        <v>2.9333333333333331</v>
      </c>
      <c r="I45" s="34">
        <f t="shared" si="11"/>
        <v>0.18333333333333332</v>
      </c>
      <c r="J45" s="35">
        <v>10</v>
      </c>
      <c r="K45" s="35">
        <v>0.25</v>
      </c>
      <c r="L45" s="36">
        <f>VLOOKUP($F45,'Packaging Cost'!$A$1:$F$43,6,FALSE)</f>
        <v>0.9</v>
      </c>
      <c r="M45" s="37">
        <f>IF($E45="Snakpak",(($J45*H45)+($K45*'Labor Cost'!$A$2)+L45)+2.25,($J45*H45)+($K45*'Labor Cost'!$A$2)+L45+1)</f>
        <v>37.108333333333327</v>
      </c>
      <c r="N45" s="38">
        <f t="shared" si="12"/>
        <v>46.385416666666657</v>
      </c>
      <c r="O45" s="38">
        <f t="shared" si="13"/>
        <v>48.240833333333327</v>
      </c>
      <c r="P45" s="38">
        <f t="shared" si="14"/>
        <v>50.096249999999998</v>
      </c>
      <c r="Q45" s="38">
        <f t="shared" si="15"/>
        <v>51.951666666666654</v>
      </c>
      <c r="R45" s="38">
        <f t="shared" si="16"/>
        <v>53.807083333333324</v>
      </c>
      <c r="S45" s="38">
        <f t="shared" si="17"/>
        <v>46.5</v>
      </c>
      <c r="T45" s="38">
        <f t="shared" si="18"/>
        <v>48.25</v>
      </c>
      <c r="U45" s="38">
        <f t="shared" si="19"/>
        <v>50</v>
      </c>
      <c r="V45" s="38">
        <f t="shared" si="20"/>
        <v>52</v>
      </c>
      <c r="W45" s="38">
        <f t="shared" si="21"/>
        <v>53.75</v>
      </c>
    </row>
    <row r="46" spans="1:23" ht="21" customHeight="1" x14ac:dyDescent="0.2">
      <c r="A46" s="19" t="s">
        <v>536</v>
      </c>
      <c r="B46" s="19" t="s">
        <v>313</v>
      </c>
      <c r="C46" s="20" t="s">
        <v>7</v>
      </c>
      <c r="D46" s="20" t="s">
        <v>384</v>
      </c>
      <c r="E46" s="20" t="s">
        <v>388</v>
      </c>
      <c r="F46" s="20" t="s">
        <v>369</v>
      </c>
      <c r="G46" s="33">
        <v>35</v>
      </c>
      <c r="H46" s="34">
        <f>VLOOKUP($C46,'Raw Cost'!$A$1:$B$484,2,FALSE)/G46</f>
        <v>0.48571428571428571</v>
      </c>
      <c r="I46" s="34">
        <f t="shared" si="11"/>
        <v>3.0357142857142857E-2</v>
      </c>
      <c r="J46" s="35">
        <v>20</v>
      </c>
      <c r="K46" s="35">
        <v>0.25</v>
      </c>
      <c r="L46" s="36">
        <f>VLOOKUP($F46,'Packaging Cost'!$A$1:$F$43,6,FALSE)</f>
        <v>1.23</v>
      </c>
      <c r="M46" s="37">
        <f>IF($E46="Snakpak",(($J46*H46)+($K46*'Labor Cost'!$A$2)+L46)+2.25,($J46*H46)+($K46*'Labor Cost'!$A$2)+L46+1)</f>
        <v>17.819285714285712</v>
      </c>
      <c r="N46" s="38">
        <f t="shared" si="12"/>
        <v>22.27410714285714</v>
      </c>
      <c r="O46" s="38">
        <f t="shared" si="13"/>
        <v>23.165071428571427</v>
      </c>
      <c r="P46" s="38">
        <f t="shared" si="14"/>
        <v>24.056035714285713</v>
      </c>
      <c r="Q46" s="38">
        <f t="shared" si="15"/>
        <v>24.946999999999996</v>
      </c>
      <c r="R46" s="38">
        <f t="shared" si="16"/>
        <v>25.837964285714282</v>
      </c>
      <c r="S46" s="38">
        <f t="shared" si="17"/>
        <v>22.25</v>
      </c>
      <c r="T46" s="38">
        <f t="shared" si="18"/>
        <v>23.25</v>
      </c>
      <c r="U46" s="38">
        <f t="shared" si="19"/>
        <v>24</v>
      </c>
      <c r="V46" s="38">
        <f t="shared" si="20"/>
        <v>25</v>
      </c>
      <c r="W46" s="38">
        <f t="shared" si="21"/>
        <v>25.75</v>
      </c>
    </row>
    <row r="47" spans="1:23" ht="21" customHeight="1" x14ac:dyDescent="0.2">
      <c r="A47" s="19" t="s">
        <v>537</v>
      </c>
      <c r="B47" s="19" t="s">
        <v>217</v>
      </c>
      <c r="C47" s="20" t="s">
        <v>16</v>
      </c>
      <c r="D47" s="20" t="s">
        <v>384</v>
      </c>
      <c r="E47" s="20" t="s">
        <v>388</v>
      </c>
      <c r="F47" s="20" t="s">
        <v>369</v>
      </c>
      <c r="G47" s="33">
        <v>16</v>
      </c>
      <c r="H47" s="34">
        <f>VLOOKUP($C47,'Raw Cost'!$A$1:$B$484,2,FALSE)/G47</f>
        <v>0.9375</v>
      </c>
      <c r="I47" s="34">
        <f t="shared" si="11"/>
        <v>5.859375E-2</v>
      </c>
      <c r="J47" s="35">
        <v>12</v>
      </c>
      <c r="K47" s="35">
        <v>0.27</v>
      </c>
      <c r="L47" s="36">
        <f>VLOOKUP($F47,'Packaging Cost'!$A$1:$F$43,6,FALSE)</f>
        <v>1.23</v>
      </c>
      <c r="M47" s="37">
        <f>IF($E47="Snakpak",(($J47*H47)+($K47*'Labor Cost'!$A$2)+L47)+2.25,($J47*H47)+($K47*'Labor Cost'!$A$2)+L47+1)</f>
        <v>19.824999999999999</v>
      </c>
      <c r="N47" s="38">
        <f t="shared" si="12"/>
        <v>24.78125</v>
      </c>
      <c r="O47" s="38">
        <f t="shared" si="13"/>
        <v>25.772500000000001</v>
      </c>
      <c r="P47" s="38">
        <f t="shared" si="14"/>
        <v>26.763750000000002</v>
      </c>
      <c r="Q47" s="38">
        <f t="shared" si="15"/>
        <v>27.754999999999999</v>
      </c>
      <c r="R47" s="38">
        <f t="shared" si="16"/>
        <v>28.74625</v>
      </c>
      <c r="S47" s="38">
        <f t="shared" si="17"/>
        <v>24.75</v>
      </c>
      <c r="T47" s="38">
        <f t="shared" si="18"/>
        <v>25.75</v>
      </c>
      <c r="U47" s="38">
        <f t="shared" si="19"/>
        <v>26.75</v>
      </c>
      <c r="V47" s="38">
        <f t="shared" si="20"/>
        <v>27.75</v>
      </c>
      <c r="W47" s="38">
        <f t="shared" si="21"/>
        <v>28.75</v>
      </c>
    </row>
    <row r="48" spans="1:23" ht="21" customHeight="1" x14ac:dyDescent="0.2">
      <c r="A48" s="19" t="s">
        <v>71</v>
      </c>
      <c r="B48" s="19" t="s">
        <v>218</v>
      </c>
      <c r="C48" s="20" t="s">
        <v>17</v>
      </c>
      <c r="D48" s="20" t="s">
        <v>384</v>
      </c>
      <c r="E48" s="20" t="s">
        <v>388</v>
      </c>
      <c r="F48" s="20" t="s">
        <v>369</v>
      </c>
      <c r="G48" s="33">
        <v>1</v>
      </c>
      <c r="H48" s="34">
        <f>VLOOKUP($C48,'Raw Cost'!$A$1:$B$484,2,FALSE)/G48</f>
        <v>62</v>
      </c>
      <c r="I48" s="34">
        <f t="shared" si="11"/>
        <v>3.875</v>
      </c>
      <c r="J48" s="35">
        <v>1</v>
      </c>
      <c r="K48" s="35">
        <v>0.35</v>
      </c>
      <c r="L48" s="36">
        <f>VLOOKUP($F48,'Packaging Cost'!$A$1:$F$43,6,FALSE)</f>
        <v>1.23</v>
      </c>
      <c r="M48" s="37">
        <f>IF($E48="Snakpak",(($J48*H48)+($K48*'Labor Cost'!$A$2)+L48)+2.25,($J48*H48)+($K48*'Labor Cost'!$A$2)+L48+1)</f>
        <v>72.454999999999998</v>
      </c>
      <c r="N48" s="38">
        <f t="shared" si="12"/>
        <v>90.568749999999994</v>
      </c>
      <c r="O48" s="38">
        <f t="shared" si="13"/>
        <v>94.191500000000005</v>
      </c>
      <c r="P48" s="38">
        <f t="shared" si="14"/>
        <v>97.814250000000001</v>
      </c>
      <c r="Q48" s="38">
        <f t="shared" si="15"/>
        <v>101.437</v>
      </c>
      <c r="R48" s="38">
        <f t="shared" si="16"/>
        <v>105.05974999999999</v>
      </c>
      <c r="S48" s="38">
        <f t="shared" si="17"/>
        <v>90.5</v>
      </c>
      <c r="T48" s="38">
        <f t="shared" si="18"/>
        <v>94.25</v>
      </c>
      <c r="U48" s="38">
        <f t="shared" si="19"/>
        <v>97.75</v>
      </c>
      <c r="V48" s="38">
        <f t="shared" si="20"/>
        <v>101.5</v>
      </c>
      <c r="W48" s="38">
        <f t="shared" si="21"/>
        <v>105</v>
      </c>
    </row>
    <row r="49" spans="1:23" ht="21" customHeight="1" x14ac:dyDescent="0.2">
      <c r="A49" s="19" t="s">
        <v>1296</v>
      </c>
      <c r="B49" s="19" t="s">
        <v>219</v>
      </c>
      <c r="C49" s="20" t="s">
        <v>17</v>
      </c>
      <c r="D49" s="20" t="s">
        <v>384</v>
      </c>
      <c r="E49" s="20" t="s">
        <v>388</v>
      </c>
      <c r="F49" s="20" t="s">
        <v>369</v>
      </c>
      <c r="G49" s="33">
        <v>1</v>
      </c>
      <c r="H49" s="34">
        <f>VLOOKUP($C49,'Raw Cost'!$A$1:$B$484,2,FALSE)/G49</f>
        <v>62</v>
      </c>
      <c r="I49" s="34">
        <f t="shared" si="11"/>
        <v>3.875</v>
      </c>
      <c r="J49" s="35">
        <v>1</v>
      </c>
      <c r="K49" s="35">
        <v>0.3</v>
      </c>
      <c r="L49" s="36">
        <f>VLOOKUP($F49,'Packaging Cost'!$A$1:$F$43,6,FALSE)</f>
        <v>1.23</v>
      </c>
      <c r="M49" s="37">
        <f>IF($E49="Snakpak",(($J49*H49)+($K49*'Labor Cost'!$A$2)+L49)+2.25,($J49*H49)+($K49*'Labor Cost'!$A$2)+L49+1)</f>
        <v>71.28</v>
      </c>
      <c r="N49" s="38">
        <f t="shared" si="12"/>
        <v>89.1</v>
      </c>
      <c r="O49" s="38">
        <f t="shared" si="13"/>
        <v>92.664000000000001</v>
      </c>
      <c r="P49" s="38">
        <f t="shared" si="14"/>
        <v>96.228000000000009</v>
      </c>
      <c r="Q49" s="38">
        <f t="shared" si="15"/>
        <v>99.792000000000002</v>
      </c>
      <c r="R49" s="38">
        <f t="shared" si="16"/>
        <v>103.35599999999999</v>
      </c>
      <c r="S49" s="38">
        <f t="shared" si="17"/>
        <v>89</v>
      </c>
      <c r="T49" s="38">
        <f t="shared" si="18"/>
        <v>92.75</v>
      </c>
      <c r="U49" s="38">
        <f t="shared" si="19"/>
        <v>96.25</v>
      </c>
      <c r="V49" s="38">
        <f t="shared" si="20"/>
        <v>99.75</v>
      </c>
      <c r="W49" s="38">
        <f t="shared" si="21"/>
        <v>103.25</v>
      </c>
    </row>
    <row r="50" spans="1:23" ht="21" customHeight="1" x14ac:dyDescent="0.2">
      <c r="A50" s="19" t="s">
        <v>144</v>
      </c>
      <c r="B50" s="19" t="s">
        <v>312</v>
      </c>
      <c r="C50" s="20" t="s">
        <v>26</v>
      </c>
      <c r="D50" s="20" t="s">
        <v>384</v>
      </c>
      <c r="E50" s="20" t="s">
        <v>388</v>
      </c>
      <c r="F50" s="20" t="s">
        <v>375</v>
      </c>
      <c r="G50" s="33">
        <v>5</v>
      </c>
      <c r="H50" s="34">
        <f>VLOOKUP($C50,'Raw Cost'!$A$1:$B$484,2,FALSE)/G50</f>
        <v>2.2000000000000002</v>
      </c>
      <c r="I50" s="34">
        <f t="shared" si="11"/>
        <v>0.13750000000000001</v>
      </c>
      <c r="J50" s="35">
        <v>5</v>
      </c>
      <c r="K50" s="35">
        <v>0.25</v>
      </c>
      <c r="L50" s="36">
        <f>VLOOKUP($F50,'Packaging Cost'!$A$1:$F$43,6,FALSE)</f>
        <v>0.59</v>
      </c>
      <c r="M50" s="37">
        <f>IF($E50="Snakpak",(($J50*H50)+($K50*'Labor Cost'!$A$2)+L50)+2.25,($J50*H50)+($K50*'Labor Cost'!$A$2)+L50+1)</f>
        <v>18.465</v>
      </c>
      <c r="N50" s="38">
        <f t="shared" si="12"/>
        <v>23.081250000000001</v>
      </c>
      <c r="O50" s="38">
        <f t="shared" si="13"/>
        <v>24.0045</v>
      </c>
      <c r="P50" s="38">
        <f t="shared" si="14"/>
        <v>24.927750000000003</v>
      </c>
      <c r="Q50" s="38">
        <f t="shared" si="15"/>
        <v>25.850999999999999</v>
      </c>
      <c r="R50" s="38">
        <f t="shared" si="16"/>
        <v>26.774249999999999</v>
      </c>
      <c r="S50" s="38">
        <f t="shared" si="17"/>
        <v>23</v>
      </c>
      <c r="T50" s="38">
        <f t="shared" si="18"/>
        <v>24</v>
      </c>
      <c r="U50" s="38">
        <f t="shared" si="19"/>
        <v>25</v>
      </c>
      <c r="V50" s="38">
        <f t="shared" si="20"/>
        <v>25.75</v>
      </c>
      <c r="W50" s="38">
        <f t="shared" si="21"/>
        <v>26.75</v>
      </c>
    </row>
    <row r="51" spans="1:23" ht="21" customHeight="1" x14ac:dyDescent="0.2">
      <c r="A51" s="19" t="s">
        <v>74</v>
      </c>
      <c r="B51" s="19" t="s">
        <v>224</v>
      </c>
      <c r="C51" s="32" t="s">
        <v>443</v>
      </c>
      <c r="D51" s="32" t="s">
        <v>384</v>
      </c>
      <c r="E51" s="20" t="s">
        <v>388</v>
      </c>
      <c r="F51" s="20" t="s">
        <v>374</v>
      </c>
      <c r="G51" s="33">
        <v>40</v>
      </c>
      <c r="H51" s="34">
        <f>VLOOKUP($C51,'Raw Cost'!$A$1:$B$484,2,FALSE)/G51</f>
        <v>1.3</v>
      </c>
      <c r="I51" s="34">
        <f t="shared" si="11"/>
        <v>8.1250000000000003E-2</v>
      </c>
      <c r="J51" s="35">
        <v>10</v>
      </c>
      <c r="K51" s="35">
        <v>0.25</v>
      </c>
      <c r="L51" s="36">
        <f>VLOOKUP($F51,'Packaging Cost'!$A$1:$F$43,6,FALSE)</f>
        <v>0.9</v>
      </c>
      <c r="M51" s="37">
        <f>IF($E51="Snakpak",(($J51*H51)+($K51*'Labor Cost'!$A$2)+L51)+2.25,($J51*H51)+($K51*'Labor Cost'!$A$2)+L51+1)</f>
        <v>20.774999999999999</v>
      </c>
      <c r="N51" s="38">
        <f t="shared" si="12"/>
        <v>25.96875</v>
      </c>
      <c r="O51" s="38">
        <f t="shared" si="13"/>
        <v>27.0075</v>
      </c>
      <c r="P51" s="38">
        <f t="shared" si="14"/>
        <v>28.046250000000001</v>
      </c>
      <c r="Q51" s="38">
        <f t="shared" si="15"/>
        <v>29.084999999999997</v>
      </c>
      <c r="R51" s="38">
        <f t="shared" si="16"/>
        <v>30.123749999999998</v>
      </c>
      <c r="S51" s="38">
        <f t="shared" si="17"/>
        <v>26</v>
      </c>
      <c r="T51" s="38">
        <f t="shared" si="18"/>
        <v>27</v>
      </c>
      <c r="U51" s="38">
        <f t="shared" si="19"/>
        <v>28</v>
      </c>
      <c r="V51" s="38">
        <f t="shared" si="20"/>
        <v>29</v>
      </c>
      <c r="W51" s="38">
        <f t="shared" si="21"/>
        <v>30</v>
      </c>
    </row>
    <row r="52" spans="1:23" ht="21" customHeight="1" x14ac:dyDescent="0.2">
      <c r="A52" s="19" t="s">
        <v>75</v>
      </c>
      <c r="B52" s="19" t="s">
        <v>225</v>
      </c>
      <c r="C52" s="32" t="s">
        <v>443</v>
      </c>
      <c r="D52" s="32" t="s">
        <v>384</v>
      </c>
      <c r="E52" s="20" t="s">
        <v>388</v>
      </c>
      <c r="F52" s="20" t="s">
        <v>374</v>
      </c>
      <c r="G52" s="33">
        <v>40</v>
      </c>
      <c r="H52" s="34">
        <f>VLOOKUP($C52,'Raw Cost'!$A$1:$B$484,2,FALSE)/G52</f>
        <v>1.3</v>
      </c>
      <c r="I52" s="34">
        <f t="shared" si="11"/>
        <v>8.1250000000000003E-2</v>
      </c>
      <c r="J52" s="35">
        <v>10</v>
      </c>
      <c r="K52" s="35">
        <v>0.25</v>
      </c>
      <c r="L52" s="36">
        <f>VLOOKUP($F52,'Packaging Cost'!$A$1:$F$43,6,FALSE)</f>
        <v>0.9</v>
      </c>
      <c r="M52" s="37">
        <f>IF($E52="Snakpak",(($J52*H52)+($K52*'Labor Cost'!$A$2)+L52)+2.25,($J52*H52)+($K52*'Labor Cost'!$A$2)+L52+1)</f>
        <v>20.774999999999999</v>
      </c>
      <c r="N52" s="38">
        <f t="shared" si="12"/>
        <v>25.96875</v>
      </c>
      <c r="O52" s="38">
        <f t="shared" si="13"/>
        <v>27.0075</v>
      </c>
      <c r="P52" s="38">
        <f t="shared" si="14"/>
        <v>28.046250000000001</v>
      </c>
      <c r="Q52" s="38">
        <f t="shared" si="15"/>
        <v>29.084999999999997</v>
      </c>
      <c r="R52" s="38">
        <f t="shared" si="16"/>
        <v>30.123749999999998</v>
      </c>
      <c r="S52" s="38">
        <f t="shared" si="17"/>
        <v>26</v>
      </c>
      <c r="T52" s="38">
        <f t="shared" si="18"/>
        <v>27</v>
      </c>
      <c r="U52" s="38">
        <f t="shared" si="19"/>
        <v>28</v>
      </c>
      <c r="V52" s="38">
        <f t="shared" si="20"/>
        <v>29</v>
      </c>
      <c r="W52" s="38">
        <f t="shared" si="21"/>
        <v>30</v>
      </c>
    </row>
    <row r="53" spans="1:23" ht="21" customHeight="1" x14ac:dyDescent="0.2">
      <c r="A53" s="19" t="s">
        <v>540</v>
      </c>
      <c r="B53" s="19" t="s">
        <v>409</v>
      </c>
      <c r="C53" s="20" t="s">
        <v>443</v>
      </c>
      <c r="D53" s="20" t="s">
        <v>384</v>
      </c>
      <c r="E53" s="20" t="s">
        <v>388</v>
      </c>
      <c r="F53" s="20" t="s">
        <v>410</v>
      </c>
      <c r="G53" s="33">
        <v>40</v>
      </c>
      <c r="H53" s="34">
        <f>VLOOKUP($C53,'Raw Cost'!$A$1:$B$484,2,FALSE)/G53</f>
        <v>1.3</v>
      </c>
      <c r="I53" s="34">
        <f t="shared" si="11"/>
        <v>8.1250000000000003E-2</v>
      </c>
      <c r="J53" s="35">
        <v>5</v>
      </c>
      <c r="K53" s="35">
        <v>0.1</v>
      </c>
      <c r="L53" s="36">
        <f>VLOOKUP($F53,'Packaging Cost'!$A$1:$F$43,6,FALSE)</f>
        <v>0.2</v>
      </c>
      <c r="M53" s="37">
        <f>IF($E53="Snakpak",(($J53*H53)+($K53*'Labor Cost'!$A$2)+L53)+2.25,($J53*H53)+($K53*'Labor Cost'!$A$2)+L53)</f>
        <v>9.0499999999999989</v>
      </c>
      <c r="N53" s="38">
        <f t="shared" si="12"/>
        <v>11.312499999999998</v>
      </c>
      <c r="O53" s="38">
        <f t="shared" si="13"/>
        <v>11.764999999999999</v>
      </c>
      <c r="P53" s="38">
        <f t="shared" si="14"/>
        <v>12.217499999999999</v>
      </c>
      <c r="Q53" s="38">
        <f t="shared" si="15"/>
        <v>12.669999999999998</v>
      </c>
      <c r="R53" s="38">
        <f t="shared" si="16"/>
        <v>13.122499999999999</v>
      </c>
      <c r="S53" s="38">
        <f t="shared" si="17"/>
        <v>11.25</v>
      </c>
      <c r="T53" s="38">
        <f t="shared" si="18"/>
        <v>11.75</v>
      </c>
      <c r="U53" s="38">
        <f t="shared" si="19"/>
        <v>12.25</v>
      </c>
      <c r="V53" s="38">
        <f t="shared" si="20"/>
        <v>12.75</v>
      </c>
      <c r="W53" s="38">
        <f t="shared" si="21"/>
        <v>13</v>
      </c>
    </row>
    <row r="54" spans="1:23" ht="21" customHeight="1" x14ac:dyDescent="0.2">
      <c r="A54" s="19" t="s">
        <v>84</v>
      </c>
      <c r="B54" s="19" t="s">
        <v>239</v>
      </c>
      <c r="C54" s="20" t="s">
        <v>570</v>
      </c>
      <c r="D54" s="20" t="s">
        <v>384</v>
      </c>
      <c r="E54" s="20" t="s">
        <v>388</v>
      </c>
      <c r="F54" s="20" t="s">
        <v>374</v>
      </c>
      <c r="G54" s="33">
        <v>10</v>
      </c>
      <c r="H54" s="34">
        <f>VLOOKUP($C54,'Raw Cost'!$A$1:$B$484,2,FALSE)/G54</f>
        <v>2.6133333333333328</v>
      </c>
      <c r="I54" s="34">
        <f t="shared" si="11"/>
        <v>0.1633333333333333</v>
      </c>
      <c r="J54" s="35">
        <v>10</v>
      </c>
      <c r="K54" s="35">
        <v>0.25</v>
      </c>
      <c r="L54" s="36">
        <f>VLOOKUP($F54,'Packaging Cost'!$A$1:$F$43,6,FALSE)</f>
        <v>0.9</v>
      </c>
      <c r="M54" s="37">
        <f>IF($E54="Snakpak",(($J54*H54)+($K54*'Labor Cost'!$A$2)+L54)+2.25,($J54*H54)+($K54*'Labor Cost'!$A$2)+L54+1)</f>
        <v>33.908333333333324</v>
      </c>
      <c r="N54" s="38">
        <f t="shared" si="12"/>
        <v>42.385416666666657</v>
      </c>
      <c r="O54" s="38">
        <f t="shared" si="13"/>
        <v>44.080833333333324</v>
      </c>
      <c r="P54" s="38">
        <f t="shared" si="14"/>
        <v>45.77624999999999</v>
      </c>
      <c r="Q54" s="38">
        <f t="shared" si="15"/>
        <v>47.47166666666665</v>
      </c>
      <c r="R54" s="38">
        <f t="shared" si="16"/>
        <v>49.167083333333316</v>
      </c>
      <c r="S54" s="38">
        <f t="shared" si="17"/>
        <v>42.5</v>
      </c>
      <c r="T54" s="38">
        <f t="shared" si="18"/>
        <v>44</v>
      </c>
      <c r="U54" s="38">
        <f t="shared" si="19"/>
        <v>45.75</v>
      </c>
      <c r="V54" s="38">
        <f t="shared" si="20"/>
        <v>47.5</v>
      </c>
      <c r="W54" s="38">
        <f t="shared" si="21"/>
        <v>49.25</v>
      </c>
    </row>
    <row r="55" spans="1:23" ht="21" customHeight="1" x14ac:dyDescent="0.2">
      <c r="A55" s="19" t="s">
        <v>542</v>
      </c>
      <c r="B55" s="19" t="s">
        <v>236</v>
      </c>
      <c r="C55" s="20" t="s">
        <v>40</v>
      </c>
      <c r="D55" s="20" t="s">
        <v>384</v>
      </c>
      <c r="E55" s="20" t="s">
        <v>388</v>
      </c>
      <c r="F55" s="20" t="s">
        <v>622</v>
      </c>
      <c r="G55" s="33">
        <v>40</v>
      </c>
      <c r="H55" s="34">
        <f>VLOOKUP($C55,'Raw Cost'!$A$1:$B$484,2,FALSE)/G55</f>
        <v>0.5</v>
      </c>
      <c r="I55" s="34">
        <f t="shared" si="11"/>
        <v>3.125E-2</v>
      </c>
      <c r="J55" s="35">
        <v>20</v>
      </c>
      <c r="K55" s="35">
        <v>0.25</v>
      </c>
      <c r="L55" s="36">
        <f>VLOOKUP($F55,'Packaging Cost'!$A$1:$F$43,6,FALSE)</f>
        <v>1.85</v>
      </c>
      <c r="M55" s="37">
        <f>IF($E55="Snakpak",(($J55*H55)+($K55*'Labor Cost'!$A$2)+L55)+2.25,($J55*H55)+($K55*'Labor Cost'!$A$2)+L55+1)</f>
        <v>18.725000000000001</v>
      </c>
      <c r="N55" s="38">
        <f t="shared" si="12"/>
        <v>23.40625</v>
      </c>
      <c r="O55" s="38">
        <f t="shared" si="13"/>
        <v>24.342500000000001</v>
      </c>
      <c r="P55" s="38">
        <f t="shared" si="14"/>
        <v>25.278750000000002</v>
      </c>
      <c r="Q55" s="38">
        <f t="shared" si="15"/>
        <v>26.215</v>
      </c>
      <c r="R55" s="38">
        <f t="shared" si="16"/>
        <v>27.151250000000001</v>
      </c>
      <c r="S55" s="38">
        <f t="shared" si="17"/>
        <v>23.5</v>
      </c>
      <c r="T55" s="38">
        <f t="shared" si="18"/>
        <v>24.25</v>
      </c>
      <c r="U55" s="38">
        <f t="shared" si="19"/>
        <v>25.25</v>
      </c>
      <c r="V55" s="38">
        <f t="shared" si="20"/>
        <v>26.25</v>
      </c>
      <c r="W55" s="38">
        <f t="shared" si="21"/>
        <v>27.25</v>
      </c>
    </row>
    <row r="56" spans="1:23" ht="21" customHeight="1" x14ac:dyDescent="0.2">
      <c r="A56" s="19" t="s">
        <v>545</v>
      </c>
      <c r="B56" s="19" t="s">
        <v>238</v>
      </c>
      <c r="C56" s="20" t="s">
        <v>580</v>
      </c>
      <c r="D56" s="20" t="s">
        <v>384</v>
      </c>
      <c r="E56" s="20" t="s">
        <v>388</v>
      </c>
      <c r="F56" s="20" t="s">
        <v>397</v>
      </c>
      <c r="G56" s="33">
        <v>4</v>
      </c>
      <c r="H56" s="34">
        <f>VLOOKUP($C56,'Raw Cost'!$A$1:$B$484,2,FALSE)/G56</f>
        <v>1.7891339869281047</v>
      </c>
      <c r="I56" s="34">
        <f t="shared" si="11"/>
        <v>0.11182087418300654</v>
      </c>
      <c r="J56" s="35">
        <v>10</v>
      </c>
      <c r="K56" s="35">
        <v>0.25</v>
      </c>
      <c r="L56" s="36">
        <f>VLOOKUP($F56,'Packaging Cost'!$A$1:$F$43,6,FALSE)</f>
        <v>3.22</v>
      </c>
      <c r="M56" s="37">
        <f>IF($E56="Snakpak",(($J56*H56)+($K56*'Labor Cost'!$A$2)+L56)+2.25,($J56*H56)+($K56*'Labor Cost'!$A$2)+L56+1)</f>
        <v>27.986339869281046</v>
      </c>
      <c r="N56" s="38">
        <f t="shared" si="12"/>
        <v>34.982924836601306</v>
      </c>
      <c r="O56" s="38">
        <f t="shared" si="13"/>
        <v>36.382241830065361</v>
      </c>
      <c r="P56" s="38">
        <f t="shared" si="14"/>
        <v>37.781558823529416</v>
      </c>
      <c r="Q56" s="38">
        <f t="shared" si="15"/>
        <v>39.180875816993463</v>
      </c>
      <c r="R56" s="38">
        <f t="shared" si="16"/>
        <v>40.580192810457518</v>
      </c>
      <c r="S56" s="38">
        <f t="shared" si="17"/>
        <v>35</v>
      </c>
      <c r="T56" s="38">
        <f t="shared" si="18"/>
        <v>36.5</v>
      </c>
      <c r="U56" s="38">
        <f t="shared" si="19"/>
        <v>37.75</v>
      </c>
      <c r="V56" s="38">
        <f t="shared" si="20"/>
        <v>39.25</v>
      </c>
      <c r="W56" s="38">
        <f t="shared" si="21"/>
        <v>40.5</v>
      </c>
    </row>
    <row r="57" spans="1:23" ht="21" customHeight="1" x14ac:dyDescent="0.2">
      <c r="A57" s="19" t="s">
        <v>1297</v>
      </c>
      <c r="B57" s="19" t="s">
        <v>237</v>
      </c>
      <c r="C57" s="20" t="s">
        <v>580</v>
      </c>
      <c r="D57" s="20" t="s">
        <v>384</v>
      </c>
      <c r="E57" s="20" t="s">
        <v>388</v>
      </c>
      <c r="F57" s="20" t="s">
        <v>399</v>
      </c>
      <c r="G57" s="33">
        <v>4</v>
      </c>
      <c r="H57" s="34">
        <f>VLOOKUP($C57,'Raw Cost'!$A$1:$B$484,2,FALSE)/G57</f>
        <v>1.7891339869281047</v>
      </c>
      <c r="I57" s="34">
        <f t="shared" si="11"/>
        <v>0.11182087418300654</v>
      </c>
      <c r="J57" s="35">
        <v>3</v>
      </c>
      <c r="K57" s="35">
        <v>0.25</v>
      </c>
      <c r="L57" s="36">
        <v>1.64</v>
      </c>
      <c r="M57" s="37">
        <f>IF($E57="Snakpak",(($J57*H57)+($K57*'Labor Cost'!$A$2)+L57)+2.25,($J57*H57)+($K57*'Labor Cost'!$A$2)+L57+1)</f>
        <v>13.882401960784314</v>
      </c>
      <c r="N57" s="38">
        <f t="shared" si="12"/>
        <v>17.353002450980391</v>
      </c>
      <c r="O57" s="38">
        <f t="shared" si="13"/>
        <v>18.047122549019608</v>
      </c>
      <c r="P57" s="38">
        <f t="shared" si="14"/>
        <v>18.741242647058826</v>
      </c>
      <c r="Q57" s="38">
        <f t="shared" si="15"/>
        <v>19.43536274509804</v>
      </c>
      <c r="R57" s="38">
        <f t="shared" si="16"/>
        <v>20.129482843137254</v>
      </c>
      <c r="S57" s="38">
        <f t="shared" si="17"/>
        <v>17.25</v>
      </c>
      <c r="T57" s="38">
        <f t="shared" si="18"/>
        <v>18</v>
      </c>
      <c r="U57" s="38">
        <f t="shared" si="19"/>
        <v>18.75</v>
      </c>
      <c r="V57" s="38">
        <f t="shared" si="20"/>
        <v>19.5</v>
      </c>
      <c r="W57" s="38">
        <f t="shared" si="21"/>
        <v>20.25</v>
      </c>
    </row>
    <row r="58" spans="1:23" ht="21" customHeight="1" x14ac:dyDescent="0.2">
      <c r="A58" s="19" t="s">
        <v>1298</v>
      </c>
      <c r="B58" s="19" t="s">
        <v>240</v>
      </c>
      <c r="C58" s="20" t="s">
        <v>580</v>
      </c>
      <c r="D58" s="20" t="s">
        <v>384</v>
      </c>
      <c r="E58" s="20" t="s">
        <v>388</v>
      </c>
      <c r="F58" s="20" t="s">
        <v>1146</v>
      </c>
      <c r="G58" s="33">
        <v>4</v>
      </c>
      <c r="H58" s="34">
        <f>VLOOKUP($C58,'Raw Cost'!$A$1:$B$484,2,FALSE)/G58</f>
        <v>1.7891339869281047</v>
      </c>
      <c r="I58" s="34">
        <f t="shared" si="11"/>
        <v>0.11182087418300654</v>
      </c>
      <c r="J58" s="35">
        <v>5</v>
      </c>
      <c r="K58" s="35">
        <v>0.25</v>
      </c>
      <c r="L58" s="36">
        <f>VLOOKUP($F58,'Packaging Cost'!$A$1:$F$43,6,FALSE)</f>
        <v>2.1</v>
      </c>
      <c r="M58" s="37">
        <f>IF($E58="Snakpak",(($J58*H58)+($K58*'Labor Cost'!$A$2)+L58)+2.25,($J58*H58)+($K58*'Labor Cost'!$A$2)+L58+1)</f>
        <v>17.920669934640525</v>
      </c>
      <c r="N58" s="38">
        <f t="shared" si="12"/>
        <v>22.400837418300657</v>
      </c>
      <c r="O58" s="38">
        <f t="shared" si="13"/>
        <v>23.296870915032684</v>
      </c>
      <c r="P58" s="38">
        <f t="shared" si="14"/>
        <v>24.192904411764712</v>
      </c>
      <c r="Q58" s="38">
        <f t="shared" si="15"/>
        <v>25.088937908496735</v>
      </c>
      <c r="R58" s="38">
        <f t="shared" si="16"/>
        <v>25.984971405228762</v>
      </c>
      <c r="S58" s="38">
        <f t="shared" si="17"/>
        <v>22.5</v>
      </c>
      <c r="T58" s="38">
        <f t="shared" si="18"/>
        <v>23.25</v>
      </c>
      <c r="U58" s="38">
        <f t="shared" si="19"/>
        <v>24.25</v>
      </c>
      <c r="V58" s="38">
        <f t="shared" si="20"/>
        <v>25</v>
      </c>
      <c r="W58" s="38">
        <f t="shared" si="21"/>
        <v>26</v>
      </c>
    </row>
    <row r="59" spans="1:23" ht="21" customHeight="1" x14ac:dyDescent="0.2">
      <c r="A59" s="19" t="s">
        <v>1280</v>
      </c>
      <c r="B59" s="19" t="s">
        <v>266</v>
      </c>
      <c r="C59" s="20" t="s">
        <v>1035</v>
      </c>
      <c r="D59" s="20" t="s">
        <v>384</v>
      </c>
      <c r="E59" s="20" t="s">
        <v>388</v>
      </c>
      <c r="F59" s="20" t="s">
        <v>375</v>
      </c>
      <c r="G59" s="33">
        <v>15</v>
      </c>
      <c r="H59" s="34">
        <f>VLOOKUP($C59,'Raw Cost'!$A$1:$B$484,2,FALSE)/G59</f>
        <v>1.9666666666666666</v>
      </c>
      <c r="I59" s="34">
        <f t="shared" si="11"/>
        <v>0.12291666666666666</v>
      </c>
      <c r="J59" s="35">
        <v>5</v>
      </c>
      <c r="K59" s="35">
        <v>0.25</v>
      </c>
      <c r="L59" s="36">
        <f>VLOOKUP($F59,'Packaging Cost'!$A$1:$F$43,6,FALSE)</f>
        <v>0.59</v>
      </c>
      <c r="M59" s="37">
        <f>IF($E59="Snakpak",(($J59*H59)+($K59*'Labor Cost'!$A$2)+L59)+2.25,($J59*H59)+($K59*'Labor Cost'!$A$2)+L59+1)</f>
        <v>17.298333333333332</v>
      </c>
      <c r="N59" s="38">
        <f t="shared" si="12"/>
        <v>21.622916666666665</v>
      </c>
      <c r="O59" s="38">
        <f t="shared" si="13"/>
        <v>22.487833333333331</v>
      </c>
      <c r="P59" s="38">
        <f t="shared" si="14"/>
        <v>23.35275</v>
      </c>
      <c r="Q59" s="38">
        <f t="shared" si="15"/>
        <v>24.217666666666663</v>
      </c>
      <c r="R59" s="38">
        <f t="shared" si="16"/>
        <v>25.082583333333332</v>
      </c>
      <c r="S59" s="38">
        <f t="shared" si="17"/>
        <v>21.5</v>
      </c>
      <c r="T59" s="38">
        <f t="shared" si="18"/>
        <v>22.5</v>
      </c>
      <c r="U59" s="38">
        <f t="shared" si="19"/>
        <v>23.25</v>
      </c>
      <c r="V59" s="38">
        <f t="shared" si="20"/>
        <v>24.25</v>
      </c>
      <c r="W59" s="38">
        <f t="shared" si="21"/>
        <v>25</v>
      </c>
    </row>
    <row r="60" spans="1:23" ht="21" customHeight="1" x14ac:dyDescent="0.2">
      <c r="A60" s="19" t="s">
        <v>603</v>
      </c>
      <c r="B60" s="19" t="s">
        <v>243</v>
      </c>
      <c r="C60" s="32" t="s">
        <v>18</v>
      </c>
      <c r="D60" s="32" t="s">
        <v>384</v>
      </c>
      <c r="E60" s="20" t="s">
        <v>388</v>
      </c>
      <c r="F60" s="20" t="s">
        <v>1292</v>
      </c>
      <c r="G60" s="33">
        <v>18</v>
      </c>
      <c r="H60" s="34">
        <f>VLOOKUP($C60,'Raw Cost'!$A$1:$B$484,2,FALSE)/G60</f>
        <v>2.0555555555555554</v>
      </c>
      <c r="I60" s="34">
        <f t="shared" si="11"/>
        <v>0.12847222222222221</v>
      </c>
      <c r="J60" s="35">
        <v>1</v>
      </c>
      <c r="K60" s="35">
        <v>0.01</v>
      </c>
      <c r="L60" s="36">
        <v>1.39</v>
      </c>
      <c r="M60" s="37">
        <f>IF($E60="Snakpak",(($J60*H60)+($K60*'Labor Cost'!$A$2)+L60),($J60*H60)+($K60*'Labor Cost'!$A$2)+L60+1)</f>
        <v>4.6805555555555554</v>
      </c>
      <c r="N60" s="38">
        <f t="shared" si="12"/>
        <v>5.8506944444444446</v>
      </c>
      <c r="O60" s="38">
        <f t="shared" si="13"/>
        <v>6.0847222222222221</v>
      </c>
      <c r="P60" s="38">
        <f t="shared" si="14"/>
        <v>6.3187500000000005</v>
      </c>
      <c r="Q60" s="38">
        <f t="shared" si="15"/>
        <v>6.5527777777777771</v>
      </c>
      <c r="R60" s="38">
        <f t="shared" si="16"/>
        <v>6.7868055555555546</v>
      </c>
      <c r="S60" s="38">
        <f t="shared" si="17"/>
        <v>5.75</v>
      </c>
      <c r="T60" s="38">
        <f t="shared" si="18"/>
        <v>6</v>
      </c>
      <c r="U60" s="38">
        <f t="shared" si="19"/>
        <v>6.25</v>
      </c>
      <c r="V60" s="38">
        <f t="shared" si="20"/>
        <v>6.5</v>
      </c>
      <c r="W60" s="38">
        <f t="shared" si="21"/>
        <v>6.75</v>
      </c>
    </row>
    <row r="61" spans="1:23" ht="21" customHeight="1" x14ac:dyDescent="0.2">
      <c r="A61" s="19" t="s">
        <v>515</v>
      </c>
      <c r="B61" s="19" t="s">
        <v>243</v>
      </c>
      <c r="C61" s="32" t="s">
        <v>18</v>
      </c>
      <c r="D61" s="32" t="s">
        <v>384</v>
      </c>
      <c r="E61" s="20" t="s">
        <v>388</v>
      </c>
      <c r="F61" s="20" t="s">
        <v>627</v>
      </c>
      <c r="G61" s="33">
        <v>18</v>
      </c>
      <c r="H61" s="34">
        <f>VLOOKUP($C61,'Raw Cost'!$A$1:$B$484,2,FALSE)/G61</f>
        <v>2.0555555555555554</v>
      </c>
      <c r="I61" s="34">
        <f t="shared" si="11"/>
        <v>0.12847222222222221</v>
      </c>
      <c r="J61" s="35">
        <v>5</v>
      </c>
      <c r="K61" s="35">
        <v>0.25</v>
      </c>
      <c r="L61" s="36">
        <f>VLOOKUP($F61,'Packaging Cost'!$A$1:$F$43,6,FALSE)</f>
        <v>2.6</v>
      </c>
      <c r="M61" s="37">
        <f>IF($E61="Snakpak",(($J61*H61)+($K61*'Labor Cost'!$A$2)+L61)+2.25,($J61*H61)+($K61*'Labor Cost'!$A$2)+L61+1)</f>
        <v>19.75277777777778</v>
      </c>
      <c r="N61" s="38">
        <f t="shared" si="12"/>
        <v>24.690972222222225</v>
      </c>
      <c r="O61" s="38">
        <f t="shared" si="13"/>
        <v>25.678611111111113</v>
      </c>
      <c r="P61" s="38">
        <f t="shared" si="14"/>
        <v>26.666250000000005</v>
      </c>
      <c r="Q61" s="38">
        <f t="shared" si="15"/>
        <v>27.65388888888889</v>
      </c>
      <c r="R61" s="38">
        <f t="shared" si="16"/>
        <v>28.641527777777782</v>
      </c>
      <c r="S61" s="38">
        <f t="shared" si="17"/>
        <v>24.75</v>
      </c>
      <c r="T61" s="38">
        <f t="shared" si="18"/>
        <v>25.75</v>
      </c>
      <c r="U61" s="38">
        <f t="shared" si="19"/>
        <v>26.75</v>
      </c>
      <c r="V61" s="38">
        <f t="shared" si="20"/>
        <v>27.75</v>
      </c>
      <c r="W61" s="38">
        <f t="shared" si="21"/>
        <v>28.75</v>
      </c>
    </row>
    <row r="62" spans="1:23" ht="21" customHeight="1" x14ac:dyDescent="0.2">
      <c r="A62" s="19" t="s">
        <v>1019</v>
      </c>
      <c r="B62" s="19" t="s">
        <v>243</v>
      </c>
      <c r="C62" s="32" t="s">
        <v>19</v>
      </c>
      <c r="D62" s="32" t="s">
        <v>384</v>
      </c>
      <c r="E62" s="20" t="s">
        <v>388</v>
      </c>
      <c r="F62" s="20" t="s">
        <v>399</v>
      </c>
      <c r="G62" s="33">
        <v>18</v>
      </c>
      <c r="H62" s="34">
        <f>VLOOKUP($C62,'Raw Cost'!$A$1:$B$484,2,FALSE)/G62</f>
        <v>2.5</v>
      </c>
      <c r="I62" s="34">
        <f t="shared" si="11"/>
        <v>0.15625</v>
      </c>
      <c r="J62" s="35">
        <v>5</v>
      </c>
      <c r="K62" s="35">
        <v>0.25</v>
      </c>
      <c r="L62" s="36">
        <f>VLOOKUP($F62,'Packaging Cost'!$A$1:$F$43,6,FALSE)</f>
        <v>1.7600000000000002</v>
      </c>
      <c r="M62" s="37">
        <f>IF($E62="Snakpak",(($J62*H62)+($K62*'Labor Cost'!$A$2)+L62)+2.25,($J62*H62)+($K62*'Labor Cost'!$A$2)+L62+1)</f>
        <v>21.135000000000002</v>
      </c>
      <c r="N62" s="38">
        <f t="shared" si="12"/>
        <v>26.418750000000003</v>
      </c>
      <c r="O62" s="38">
        <f t="shared" si="13"/>
        <v>27.475500000000004</v>
      </c>
      <c r="P62" s="38">
        <f t="shared" si="14"/>
        <v>28.532250000000005</v>
      </c>
      <c r="Q62" s="38">
        <f t="shared" si="15"/>
        <v>29.588999999999999</v>
      </c>
      <c r="R62" s="38">
        <f t="shared" si="16"/>
        <v>30.64575</v>
      </c>
      <c r="S62" s="38">
        <f t="shared" si="17"/>
        <v>26.5</v>
      </c>
      <c r="T62" s="38">
        <f t="shared" si="18"/>
        <v>27.5</v>
      </c>
      <c r="U62" s="38">
        <f t="shared" si="19"/>
        <v>28.5</v>
      </c>
      <c r="V62" s="38">
        <f t="shared" si="20"/>
        <v>29.5</v>
      </c>
      <c r="W62" s="38">
        <f t="shared" si="21"/>
        <v>30.75</v>
      </c>
    </row>
    <row r="63" spans="1:23" ht="21" customHeight="1" x14ac:dyDescent="0.2">
      <c r="A63" s="19" t="s">
        <v>450</v>
      </c>
      <c r="B63" s="19" t="s">
        <v>451</v>
      </c>
      <c r="C63" s="32" t="s">
        <v>452</v>
      </c>
      <c r="D63" s="32" t="s">
        <v>384</v>
      </c>
      <c r="E63" s="20" t="s">
        <v>388</v>
      </c>
      <c r="F63" s="20" t="s">
        <v>400</v>
      </c>
      <c r="G63" s="33">
        <v>10</v>
      </c>
      <c r="H63" s="34">
        <f>VLOOKUP($C63,'Raw Cost'!$A$1:$B$484,2,FALSE)/G63</f>
        <v>2.6</v>
      </c>
      <c r="I63" s="34">
        <f t="shared" si="11"/>
        <v>0.16250000000000001</v>
      </c>
      <c r="J63" s="35">
        <v>2</v>
      </c>
      <c r="K63" s="35">
        <v>0.27</v>
      </c>
      <c r="L63" s="36">
        <f>VLOOKUP($F63,'Packaging Cost'!$A$1:$F$43,6,FALSE)</f>
        <v>1.4100000000000001</v>
      </c>
      <c r="M63" s="37">
        <f>IF($E63="Snakpak",(($J63*H63)+($K63*'Labor Cost'!$A$2)+L63)+2.25,($J63*H63)+($K63*'Labor Cost'!$A$2)+L63+1)</f>
        <v>13.955000000000002</v>
      </c>
      <c r="N63" s="38">
        <f t="shared" si="12"/>
        <v>17.443750000000001</v>
      </c>
      <c r="O63" s="38">
        <f t="shared" si="13"/>
        <v>18.141500000000004</v>
      </c>
      <c r="P63" s="38">
        <f t="shared" si="14"/>
        <v>18.839250000000003</v>
      </c>
      <c r="Q63" s="38">
        <f t="shared" si="15"/>
        <v>19.537000000000003</v>
      </c>
      <c r="R63" s="38">
        <f t="shared" si="16"/>
        <v>20.234750000000002</v>
      </c>
      <c r="S63" s="38">
        <f t="shared" si="17"/>
        <v>17.5</v>
      </c>
      <c r="T63" s="38">
        <f t="shared" si="18"/>
        <v>18.25</v>
      </c>
      <c r="U63" s="38">
        <f t="shared" si="19"/>
        <v>18.75</v>
      </c>
      <c r="V63" s="38">
        <f t="shared" si="20"/>
        <v>19.5</v>
      </c>
      <c r="W63" s="38">
        <f t="shared" si="21"/>
        <v>20.25</v>
      </c>
    </row>
    <row r="64" spans="1:23" ht="21" customHeight="1" x14ac:dyDescent="0.2">
      <c r="A64" s="19" t="s">
        <v>549</v>
      </c>
      <c r="B64" s="19" t="s">
        <v>250</v>
      </c>
      <c r="C64" s="32" t="s">
        <v>20</v>
      </c>
      <c r="D64" s="32" t="s">
        <v>384</v>
      </c>
      <c r="E64" s="20" t="s">
        <v>388</v>
      </c>
      <c r="F64" s="20" t="s">
        <v>399</v>
      </c>
      <c r="G64" s="33">
        <v>15</v>
      </c>
      <c r="H64" s="34">
        <f>VLOOKUP($C64,'Raw Cost'!$A$1:$B$484,2,FALSE)/G64</f>
        <v>1.7333333333333334</v>
      </c>
      <c r="I64" s="34">
        <f t="shared" si="11"/>
        <v>0.10833333333333334</v>
      </c>
      <c r="J64" s="35">
        <v>5</v>
      </c>
      <c r="K64" s="35">
        <v>0.25</v>
      </c>
      <c r="L64" s="36">
        <f>VLOOKUP($F64,'Packaging Cost'!$A$1:$F$43,6,FALSE)</f>
        <v>1.7600000000000002</v>
      </c>
      <c r="M64" s="37">
        <f>IF($E64="Snakpak",(($J64*H64)+($K64*'Labor Cost'!$A$2)+L64)+2.25,($J64*H64)+($K64*'Labor Cost'!$A$2)+L64+1)</f>
        <v>17.301666666666669</v>
      </c>
      <c r="N64" s="38">
        <f t="shared" si="12"/>
        <v>21.627083333333339</v>
      </c>
      <c r="O64" s="38">
        <f t="shared" si="13"/>
        <v>22.49216666666667</v>
      </c>
      <c r="P64" s="38">
        <f t="shared" si="14"/>
        <v>23.357250000000004</v>
      </c>
      <c r="Q64" s="38">
        <f t="shared" si="15"/>
        <v>24.222333333333335</v>
      </c>
      <c r="R64" s="38">
        <f t="shared" si="16"/>
        <v>25.08741666666667</v>
      </c>
      <c r="S64" s="38">
        <f t="shared" si="17"/>
        <v>21.75</v>
      </c>
      <c r="T64" s="38">
        <f t="shared" si="18"/>
        <v>22.5</v>
      </c>
      <c r="U64" s="38">
        <f t="shared" si="19"/>
        <v>23.25</v>
      </c>
      <c r="V64" s="38">
        <f t="shared" si="20"/>
        <v>24.25</v>
      </c>
      <c r="W64" s="38">
        <f t="shared" si="21"/>
        <v>25</v>
      </c>
    </row>
    <row r="65" spans="1:23" ht="21" customHeight="1" x14ac:dyDescent="0.2">
      <c r="A65" s="19" t="s">
        <v>85</v>
      </c>
      <c r="B65" s="19" t="s">
        <v>248</v>
      </c>
      <c r="C65" s="32" t="s">
        <v>20</v>
      </c>
      <c r="D65" s="32" t="s">
        <v>384</v>
      </c>
      <c r="E65" s="20" t="s">
        <v>388</v>
      </c>
      <c r="F65" s="20" t="s">
        <v>399</v>
      </c>
      <c r="G65" s="33">
        <v>15</v>
      </c>
      <c r="H65" s="34">
        <f>VLOOKUP($C65,'Raw Cost'!$A$1:$B$484,2,FALSE)/G65</f>
        <v>1.7333333333333334</v>
      </c>
      <c r="I65" s="34">
        <f t="shared" si="11"/>
        <v>0.10833333333333334</v>
      </c>
      <c r="J65" s="35">
        <v>5</v>
      </c>
      <c r="K65" s="35">
        <v>0.25</v>
      </c>
      <c r="L65" s="36">
        <f>VLOOKUP($F65,'Packaging Cost'!$A$1:$F$43,6,FALSE)</f>
        <v>1.7600000000000002</v>
      </c>
      <c r="M65" s="37">
        <f>IF($E65="Snakpak",(($J65*H65)+($K65*'Labor Cost'!$A$2)+L65)+2.25,($J65*H65)+($K65*'Labor Cost'!$A$2)+L65+1)</f>
        <v>17.301666666666669</v>
      </c>
      <c r="N65" s="38">
        <f t="shared" si="12"/>
        <v>21.627083333333339</v>
      </c>
      <c r="O65" s="38">
        <f t="shared" si="13"/>
        <v>22.49216666666667</v>
      </c>
      <c r="P65" s="38">
        <f t="shared" si="14"/>
        <v>23.357250000000004</v>
      </c>
      <c r="Q65" s="38">
        <f t="shared" si="15"/>
        <v>24.222333333333335</v>
      </c>
      <c r="R65" s="38">
        <f t="shared" si="16"/>
        <v>25.08741666666667</v>
      </c>
      <c r="S65" s="38">
        <f t="shared" si="17"/>
        <v>21.75</v>
      </c>
      <c r="T65" s="38">
        <f t="shared" si="18"/>
        <v>22.5</v>
      </c>
      <c r="U65" s="38">
        <f t="shared" si="19"/>
        <v>23.25</v>
      </c>
      <c r="V65" s="38">
        <f t="shared" si="20"/>
        <v>24.25</v>
      </c>
      <c r="W65" s="38">
        <f t="shared" si="21"/>
        <v>25</v>
      </c>
    </row>
    <row r="66" spans="1:23" ht="21" customHeight="1" x14ac:dyDescent="0.2">
      <c r="A66" s="19" t="s">
        <v>548</v>
      </c>
      <c r="B66" s="19" t="s">
        <v>251</v>
      </c>
      <c r="C66" s="32" t="s">
        <v>20</v>
      </c>
      <c r="D66" s="32" t="s">
        <v>384</v>
      </c>
      <c r="E66" s="20" t="s">
        <v>388</v>
      </c>
      <c r="F66" s="20" t="s">
        <v>397</v>
      </c>
      <c r="G66" s="33">
        <v>15</v>
      </c>
      <c r="H66" s="34">
        <f>VLOOKUP($C66,'Raw Cost'!$A$1:$B$484,2,FALSE)/G66</f>
        <v>1.7333333333333334</v>
      </c>
      <c r="I66" s="34">
        <f t="shared" ref="I66:I97" si="22">H66/16</f>
        <v>0.10833333333333334</v>
      </c>
      <c r="J66" s="35">
        <v>10</v>
      </c>
      <c r="K66" s="35">
        <v>0.3</v>
      </c>
      <c r="L66" s="36">
        <f>VLOOKUP($F66,'Packaging Cost'!$A$1:$F$43,6,FALSE)</f>
        <v>3.22</v>
      </c>
      <c r="M66" s="37">
        <f>IF($E66="Snakpak",(($J66*H66)+($K66*'Labor Cost'!$A$2)+L66)+2.25,($J66*H66)+($K66*'Labor Cost'!$A$2)+L66+1)</f>
        <v>28.603333333333335</v>
      </c>
      <c r="N66" s="38">
        <f t="shared" ref="N66:N97" si="23">IF($D66="No",$M66*1.25,($M66*1.25)+15)</f>
        <v>35.75416666666667</v>
      </c>
      <c r="O66" s="38">
        <f t="shared" ref="O66:O97" si="24">IF($D66="No",$M66*1.3,($M66*1.3)+15)</f>
        <v>37.184333333333335</v>
      </c>
      <c r="P66" s="38">
        <f t="shared" ref="P66:P97" si="25">IF($D66="No",$M66*1.35,($M66*1.35)+15)</f>
        <v>38.614500000000007</v>
      </c>
      <c r="Q66" s="38">
        <f t="shared" ref="Q66:Q97" si="26">IF($D66="No",$M66*1.4,($M66*1.4)+15)</f>
        <v>40.044666666666664</v>
      </c>
      <c r="R66" s="38">
        <f t="shared" ref="R66:R97" si="27">IF($D66="No",$M66*1.45,($M66*1.45)+15)</f>
        <v>41.474833333333336</v>
      </c>
      <c r="S66" s="38">
        <f t="shared" ref="S66:S97" si="28">MROUND(N66,0.25)</f>
        <v>35.75</v>
      </c>
      <c r="T66" s="38">
        <f t="shared" ref="T66:T97" si="29">MROUND(O66,0.25)</f>
        <v>37.25</v>
      </c>
      <c r="U66" s="38">
        <f t="shared" ref="U66:U97" si="30">MROUND(P66,0.25)</f>
        <v>38.5</v>
      </c>
      <c r="V66" s="38">
        <f t="shared" ref="V66:V97" si="31">MROUND(Q66,0.25)</f>
        <v>40</v>
      </c>
      <c r="W66" s="38">
        <f t="shared" ref="W66:W97" si="32">MROUND(R66,0.25)</f>
        <v>41.5</v>
      </c>
    </row>
    <row r="67" spans="1:23" ht="21" customHeight="1" x14ac:dyDescent="0.2">
      <c r="A67" s="19" t="s">
        <v>448</v>
      </c>
      <c r="B67" s="19" t="s">
        <v>449</v>
      </c>
      <c r="C67" s="32" t="s">
        <v>447</v>
      </c>
      <c r="D67" s="32" t="s">
        <v>384</v>
      </c>
      <c r="E67" s="20" t="s">
        <v>388</v>
      </c>
      <c r="F67" s="20" t="s">
        <v>397</v>
      </c>
      <c r="G67" s="33">
        <v>25</v>
      </c>
      <c r="H67" s="34">
        <f>VLOOKUP($C67,'Raw Cost'!$A$1:$B$484,2,FALSE)/G67</f>
        <v>1.88</v>
      </c>
      <c r="I67" s="34">
        <f t="shared" si="22"/>
        <v>0.11749999999999999</v>
      </c>
      <c r="J67" s="35">
        <v>10</v>
      </c>
      <c r="K67" s="35">
        <v>0.3</v>
      </c>
      <c r="L67" s="36">
        <f>VLOOKUP($F67,'Packaging Cost'!$A$1:$F$43,6,FALSE)</f>
        <v>3.22</v>
      </c>
      <c r="M67" s="37">
        <f>IF($E67="Snakpak",(($J67*H67)+($K67*'Labor Cost'!$A$2)+L67)+2.25,($J67*H67)+($K67*'Labor Cost'!$A$2)+L67+1)</f>
        <v>30.069999999999997</v>
      </c>
      <c r="N67" s="38">
        <f t="shared" si="23"/>
        <v>37.587499999999999</v>
      </c>
      <c r="O67" s="38">
        <f t="shared" si="24"/>
        <v>39.090999999999994</v>
      </c>
      <c r="P67" s="38">
        <f t="shared" si="25"/>
        <v>40.594499999999996</v>
      </c>
      <c r="Q67" s="38">
        <f t="shared" si="26"/>
        <v>42.097999999999992</v>
      </c>
      <c r="R67" s="38">
        <f t="shared" si="27"/>
        <v>43.601499999999994</v>
      </c>
      <c r="S67" s="38">
        <f t="shared" si="28"/>
        <v>37.5</v>
      </c>
      <c r="T67" s="38">
        <f t="shared" si="29"/>
        <v>39</v>
      </c>
      <c r="U67" s="38">
        <f t="shared" si="30"/>
        <v>40.5</v>
      </c>
      <c r="V67" s="38">
        <f t="shared" si="31"/>
        <v>42</v>
      </c>
      <c r="W67" s="38">
        <f t="shared" si="32"/>
        <v>43.5</v>
      </c>
    </row>
    <row r="68" spans="1:23" ht="21" customHeight="1" x14ac:dyDescent="0.2">
      <c r="A68" s="19" t="s">
        <v>472</v>
      </c>
      <c r="B68" s="19" t="s">
        <v>493</v>
      </c>
      <c r="C68" s="32" t="s">
        <v>447</v>
      </c>
      <c r="D68" s="32" t="s">
        <v>384</v>
      </c>
      <c r="E68" s="20" t="s">
        <v>388</v>
      </c>
      <c r="F68" s="20" t="s">
        <v>375</v>
      </c>
      <c r="G68" s="33">
        <v>25</v>
      </c>
      <c r="H68" s="34">
        <f>VLOOKUP($C68,'Raw Cost'!$A$1:$B$484,2,FALSE)/G68</f>
        <v>1.88</v>
      </c>
      <c r="I68" s="34">
        <f t="shared" si="22"/>
        <v>0.11749999999999999</v>
      </c>
      <c r="J68" s="35">
        <v>5</v>
      </c>
      <c r="K68" s="35">
        <v>0.15</v>
      </c>
      <c r="L68" s="36">
        <f>VLOOKUP($F68,'Packaging Cost'!$A$1:$F$43,6,FALSE)</f>
        <v>0.59</v>
      </c>
      <c r="M68" s="37">
        <f>IF($E68="Snakpak",(($J68*H68)+($K68*'Labor Cost'!$A$2)+L68)+2.25,($J68*H68)+($K68*'Labor Cost'!$A$2)+L68+1)</f>
        <v>14.514999999999999</v>
      </c>
      <c r="N68" s="38">
        <f t="shared" si="23"/>
        <v>18.143749999999997</v>
      </c>
      <c r="O68" s="38">
        <f t="shared" si="24"/>
        <v>18.869499999999999</v>
      </c>
      <c r="P68" s="38">
        <f t="shared" si="25"/>
        <v>19.59525</v>
      </c>
      <c r="Q68" s="38">
        <f t="shared" si="26"/>
        <v>20.320999999999998</v>
      </c>
      <c r="R68" s="38">
        <f t="shared" si="27"/>
        <v>21.046749999999996</v>
      </c>
      <c r="S68" s="38">
        <f t="shared" si="28"/>
        <v>18.25</v>
      </c>
      <c r="T68" s="38">
        <f t="shared" si="29"/>
        <v>18.75</v>
      </c>
      <c r="U68" s="38">
        <f t="shared" si="30"/>
        <v>19.5</v>
      </c>
      <c r="V68" s="38">
        <f t="shared" si="31"/>
        <v>20.25</v>
      </c>
      <c r="W68" s="38">
        <f t="shared" si="32"/>
        <v>21</v>
      </c>
    </row>
    <row r="69" spans="1:23" ht="21" customHeight="1" x14ac:dyDescent="0.2">
      <c r="A69" s="19" t="s">
        <v>552</v>
      </c>
      <c r="B69" s="19" t="s">
        <v>258</v>
      </c>
      <c r="C69" s="20" t="s">
        <v>21</v>
      </c>
      <c r="D69" s="20" t="s">
        <v>384</v>
      </c>
      <c r="E69" s="20" t="s">
        <v>388</v>
      </c>
      <c r="F69" s="20" t="s">
        <v>398</v>
      </c>
      <c r="G69" s="33">
        <v>22</v>
      </c>
      <c r="H69" s="34">
        <f>VLOOKUP($C69,'Raw Cost'!$A$1:$B$484,2,FALSE)/G69</f>
        <v>1.2272727272727273</v>
      </c>
      <c r="I69" s="34">
        <f t="shared" si="22"/>
        <v>7.6704545454545456E-2</v>
      </c>
      <c r="J69" s="35">
        <v>10</v>
      </c>
      <c r="K69" s="35">
        <v>0.27</v>
      </c>
      <c r="L69" s="36">
        <f>VLOOKUP($F69,'Packaging Cost'!$A$1:$F$43,6,FALSE)</f>
        <v>2.52</v>
      </c>
      <c r="M69" s="37">
        <f>IF($E69="Snakpak",(($J69*H69)+($K69*'Labor Cost'!$A$2)+L69)+2.25,($J69*H69)+($K69*'Labor Cost'!$A$2)+L69+1)</f>
        <v>22.137727272727272</v>
      </c>
      <c r="N69" s="38">
        <f t="shared" si="23"/>
        <v>27.672159090909091</v>
      </c>
      <c r="O69" s="38">
        <f t="shared" si="24"/>
        <v>28.779045454545454</v>
      </c>
      <c r="P69" s="38">
        <f t="shared" si="25"/>
        <v>29.88593181818182</v>
      </c>
      <c r="Q69" s="38">
        <f t="shared" si="26"/>
        <v>30.99281818181818</v>
      </c>
      <c r="R69" s="38">
        <f t="shared" si="27"/>
        <v>32.099704545454543</v>
      </c>
      <c r="S69" s="38">
        <f t="shared" si="28"/>
        <v>27.75</v>
      </c>
      <c r="T69" s="38">
        <f t="shared" si="29"/>
        <v>28.75</v>
      </c>
      <c r="U69" s="38">
        <f t="shared" si="30"/>
        <v>30</v>
      </c>
      <c r="V69" s="38">
        <f t="shared" si="31"/>
        <v>31</v>
      </c>
      <c r="W69" s="38">
        <f t="shared" si="32"/>
        <v>32</v>
      </c>
    </row>
    <row r="70" spans="1:23" ht="21" customHeight="1" x14ac:dyDescent="0.2">
      <c r="A70" s="19" t="s">
        <v>594</v>
      </c>
      <c r="B70" s="19" t="s">
        <v>258</v>
      </c>
      <c r="C70" s="20" t="s">
        <v>21</v>
      </c>
      <c r="D70" s="20" t="s">
        <v>384</v>
      </c>
      <c r="E70" s="20" t="s">
        <v>388</v>
      </c>
      <c r="F70" s="20" t="s">
        <v>400</v>
      </c>
      <c r="G70" s="33">
        <v>22</v>
      </c>
      <c r="H70" s="34">
        <f>VLOOKUP($C70,'Raw Cost'!$A$1:$B$484,2,FALSE)/G70</f>
        <v>1.2272727272727273</v>
      </c>
      <c r="I70" s="34">
        <f t="shared" si="22"/>
        <v>7.6704545454545456E-2</v>
      </c>
      <c r="J70" s="35">
        <v>5</v>
      </c>
      <c r="K70" s="35">
        <v>0.27</v>
      </c>
      <c r="L70" s="36">
        <f>VLOOKUP($F70,'Packaging Cost'!$A$1:$F$43,6,FALSE)</f>
        <v>1.4100000000000001</v>
      </c>
      <c r="M70" s="37">
        <f>IF($E70="Snakpak",(($J70*H70)+($K70*'Labor Cost'!$A$2)+L70)+2.25,($J70*H70)+($K70*'Labor Cost'!$A$2)+L70+1)</f>
        <v>14.891363636363637</v>
      </c>
      <c r="N70" s="38">
        <f t="shared" si="23"/>
        <v>18.614204545454548</v>
      </c>
      <c r="O70" s="38">
        <f t="shared" si="24"/>
        <v>19.358772727272729</v>
      </c>
      <c r="P70" s="38">
        <f t="shared" si="25"/>
        <v>20.10334090909091</v>
      </c>
      <c r="Q70" s="38">
        <f t="shared" si="26"/>
        <v>20.847909090909091</v>
      </c>
      <c r="R70" s="38">
        <f t="shared" si="27"/>
        <v>21.592477272727272</v>
      </c>
      <c r="S70" s="38">
        <f t="shared" si="28"/>
        <v>18.5</v>
      </c>
      <c r="T70" s="38">
        <f t="shared" si="29"/>
        <v>19.25</v>
      </c>
      <c r="U70" s="38">
        <f t="shared" si="30"/>
        <v>20</v>
      </c>
      <c r="V70" s="38">
        <f t="shared" si="31"/>
        <v>20.75</v>
      </c>
      <c r="W70" s="38">
        <f t="shared" si="32"/>
        <v>21.5</v>
      </c>
    </row>
    <row r="71" spans="1:23" ht="21" customHeight="1" x14ac:dyDescent="0.2">
      <c r="A71" s="19" t="s">
        <v>406</v>
      </c>
      <c r="B71" s="19" t="s">
        <v>407</v>
      </c>
      <c r="C71" s="20" t="s">
        <v>22</v>
      </c>
      <c r="D71" s="20" t="s">
        <v>384</v>
      </c>
      <c r="E71" s="20" t="s">
        <v>388</v>
      </c>
      <c r="F71" s="20" t="s">
        <v>369</v>
      </c>
      <c r="G71" s="33">
        <v>16</v>
      </c>
      <c r="H71" s="34">
        <f>VLOOKUP($C71,'Raw Cost'!$A$1:$B$484,2,FALSE)/G71</f>
        <v>1</v>
      </c>
      <c r="I71" s="34">
        <f t="shared" si="22"/>
        <v>6.25E-2</v>
      </c>
      <c r="J71" s="35">
        <v>4</v>
      </c>
      <c r="K71" s="35">
        <v>0.3</v>
      </c>
      <c r="L71" s="36">
        <f>VLOOKUP($F71,'Packaging Cost'!$A$1:$F$43,6,FALSE)</f>
        <v>1.23</v>
      </c>
      <c r="M71" s="37">
        <f>IF($E71="Snakpak",(($J71*H71)+($K71*'Labor Cost'!$A$2)+L71)+2.25,($J71*H71)+($K71*'Labor Cost'!$A$2)+L71+1)</f>
        <v>13.280000000000001</v>
      </c>
      <c r="N71" s="38">
        <f t="shared" si="23"/>
        <v>16.600000000000001</v>
      </c>
      <c r="O71" s="38">
        <f t="shared" si="24"/>
        <v>17.264000000000003</v>
      </c>
      <c r="P71" s="38">
        <f t="shared" si="25"/>
        <v>17.928000000000004</v>
      </c>
      <c r="Q71" s="38">
        <f t="shared" si="26"/>
        <v>18.591999999999999</v>
      </c>
      <c r="R71" s="38">
        <f t="shared" si="27"/>
        <v>19.256</v>
      </c>
      <c r="S71" s="38">
        <f t="shared" si="28"/>
        <v>16.5</v>
      </c>
      <c r="T71" s="38">
        <f t="shared" si="29"/>
        <v>17.25</v>
      </c>
      <c r="U71" s="38">
        <f t="shared" si="30"/>
        <v>18</v>
      </c>
      <c r="V71" s="38">
        <f t="shared" si="31"/>
        <v>18.5</v>
      </c>
      <c r="W71" s="38">
        <f t="shared" si="32"/>
        <v>19.25</v>
      </c>
    </row>
    <row r="72" spans="1:23" ht="21" customHeight="1" x14ac:dyDescent="0.2">
      <c r="A72" s="19" t="s">
        <v>93</v>
      </c>
      <c r="B72" s="19" t="s">
        <v>261</v>
      </c>
      <c r="C72" s="20" t="s">
        <v>23</v>
      </c>
      <c r="D72" s="20" t="s">
        <v>384</v>
      </c>
      <c r="E72" s="20" t="s">
        <v>388</v>
      </c>
      <c r="F72" s="20" t="s">
        <v>399</v>
      </c>
      <c r="G72" s="33">
        <v>15</v>
      </c>
      <c r="H72" s="34">
        <f>VLOOKUP($C72,'Raw Cost'!$A$1:$B$484,2,FALSE)/G72</f>
        <v>2.8</v>
      </c>
      <c r="I72" s="34">
        <f t="shared" si="22"/>
        <v>0.17499999999999999</v>
      </c>
      <c r="J72" s="35">
        <v>5</v>
      </c>
      <c r="K72" s="35">
        <v>0.3</v>
      </c>
      <c r="L72" s="36">
        <f>VLOOKUP($F72,'Packaging Cost'!$A$1:$F$43,6,FALSE)</f>
        <v>1.7600000000000002</v>
      </c>
      <c r="M72" s="37">
        <f>IF($E72="Snakpak",(($J72*H72)+($K72*'Labor Cost'!$A$2)+L72)+2.25,($J72*H72)+($K72*'Labor Cost'!$A$2)+L72+1)</f>
        <v>23.810000000000002</v>
      </c>
      <c r="N72" s="38">
        <f t="shared" si="23"/>
        <v>29.762500000000003</v>
      </c>
      <c r="O72" s="38">
        <f t="shared" si="24"/>
        <v>30.953000000000003</v>
      </c>
      <c r="P72" s="38">
        <f t="shared" si="25"/>
        <v>32.143500000000003</v>
      </c>
      <c r="Q72" s="38">
        <f t="shared" si="26"/>
        <v>33.334000000000003</v>
      </c>
      <c r="R72" s="38">
        <f t="shared" si="27"/>
        <v>34.524500000000003</v>
      </c>
      <c r="S72" s="38">
        <f t="shared" si="28"/>
        <v>29.75</v>
      </c>
      <c r="T72" s="38">
        <f t="shared" si="29"/>
        <v>31</v>
      </c>
      <c r="U72" s="38">
        <f t="shared" si="30"/>
        <v>32.25</v>
      </c>
      <c r="V72" s="38">
        <f t="shared" si="31"/>
        <v>33.25</v>
      </c>
      <c r="W72" s="38">
        <f t="shared" si="32"/>
        <v>34.5</v>
      </c>
    </row>
    <row r="73" spans="1:23" ht="21" customHeight="1" x14ac:dyDescent="0.2">
      <c r="A73" s="19" t="s">
        <v>95</v>
      </c>
      <c r="B73" s="19" t="s">
        <v>263</v>
      </c>
      <c r="C73" s="20" t="s">
        <v>24</v>
      </c>
      <c r="D73" s="20" t="s">
        <v>384</v>
      </c>
      <c r="E73" s="20" t="s">
        <v>388</v>
      </c>
      <c r="F73" s="20" t="s">
        <v>397</v>
      </c>
      <c r="G73" s="33">
        <v>30</v>
      </c>
      <c r="H73" s="34">
        <f>VLOOKUP($C73,'Raw Cost'!$A$1:$B$484,2,FALSE)/G73</f>
        <v>1.0333333333333334</v>
      </c>
      <c r="I73" s="34">
        <f t="shared" si="22"/>
        <v>6.458333333333334E-2</v>
      </c>
      <c r="J73" s="35">
        <v>10</v>
      </c>
      <c r="K73" s="35">
        <v>0.25</v>
      </c>
      <c r="L73" s="36">
        <f>VLOOKUP($F73,'Packaging Cost'!$A$1:$F$43,6,FALSE)</f>
        <v>3.22</v>
      </c>
      <c r="M73" s="37">
        <f>IF($E73="Snakpak",(($J73*H73)+($K73*'Labor Cost'!$A$2)+L73)+2.25,($J73*H73)+($K73*'Labor Cost'!$A$2)+L73+1)</f>
        <v>20.428333333333335</v>
      </c>
      <c r="N73" s="38">
        <f t="shared" si="23"/>
        <v>25.53541666666667</v>
      </c>
      <c r="O73" s="38">
        <f t="shared" si="24"/>
        <v>26.556833333333337</v>
      </c>
      <c r="P73" s="38">
        <f t="shared" si="25"/>
        <v>27.578250000000004</v>
      </c>
      <c r="Q73" s="38">
        <f t="shared" si="26"/>
        <v>28.599666666666668</v>
      </c>
      <c r="R73" s="38">
        <f t="shared" si="27"/>
        <v>29.621083333333335</v>
      </c>
      <c r="S73" s="38">
        <f t="shared" si="28"/>
        <v>25.5</v>
      </c>
      <c r="T73" s="38">
        <f t="shared" si="29"/>
        <v>26.5</v>
      </c>
      <c r="U73" s="38">
        <f t="shared" si="30"/>
        <v>27.5</v>
      </c>
      <c r="V73" s="38">
        <f t="shared" si="31"/>
        <v>28.5</v>
      </c>
      <c r="W73" s="38">
        <f t="shared" si="32"/>
        <v>29.5</v>
      </c>
    </row>
    <row r="74" spans="1:23" ht="21" customHeight="1" x14ac:dyDescent="0.2">
      <c r="A74" s="19" t="s">
        <v>598</v>
      </c>
      <c r="B74" s="19" t="s">
        <v>264</v>
      </c>
      <c r="C74" s="32" t="s">
        <v>25</v>
      </c>
      <c r="D74" s="32" t="s">
        <v>384</v>
      </c>
      <c r="E74" s="20" t="s">
        <v>388</v>
      </c>
      <c r="F74" s="20" t="s">
        <v>399</v>
      </c>
      <c r="G74" s="33">
        <v>5</v>
      </c>
      <c r="H74" s="34">
        <f>VLOOKUP($C74,'Raw Cost'!$A$1:$B$484,2,FALSE)/G74</f>
        <v>2.8</v>
      </c>
      <c r="I74" s="34">
        <f t="shared" si="22"/>
        <v>0.17499999999999999</v>
      </c>
      <c r="J74" s="35">
        <v>5</v>
      </c>
      <c r="K74" s="35">
        <v>0.25</v>
      </c>
      <c r="L74" s="36">
        <f>VLOOKUP($F74,'Packaging Cost'!$A$1:$F$43,6,FALSE)</f>
        <v>1.7600000000000002</v>
      </c>
      <c r="M74" s="37">
        <f>IF($E74="Snakpak",(($J74*H74)+($K74*'Labor Cost'!$A$2)+L74)+2.25,($J74*H74)+($K74*'Labor Cost'!$A$2)+L74+1)</f>
        <v>22.635000000000002</v>
      </c>
      <c r="N74" s="38">
        <f t="shared" si="23"/>
        <v>28.293750000000003</v>
      </c>
      <c r="O74" s="38">
        <f t="shared" si="24"/>
        <v>29.425500000000003</v>
      </c>
      <c r="P74" s="38">
        <f t="shared" si="25"/>
        <v>30.557250000000003</v>
      </c>
      <c r="Q74" s="38">
        <f t="shared" si="26"/>
        <v>31.689</v>
      </c>
      <c r="R74" s="38">
        <f t="shared" si="27"/>
        <v>32.820750000000004</v>
      </c>
      <c r="S74" s="38">
        <f t="shared" si="28"/>
        <v>28.25</v>
      </c>
      <c r="T74" s="38">
        <f t="shared" si="29"/>
        <v>29.5</v>
      </c>
      <c r="U74" s="38">
        <f t="shared" si="30"/>
        <v>30.5</v>
      </c>
      <c r="V74" s="38">
        <f t="shared" si="31"/>
        <v>31.75</v>
      </c>
      <c r="W74" s="38">
        <f t="shared" si="32"/>
        <v>32.75</v>
      </c>
    </row>
    <row r="75" spans="1:23" ht="21" customHeight="1" x14ac:dyDescent="0.2">
      <c r="A75" s="19" t="s">
        <v>585</v>
      </c>
      <c r="B75" s="19" t="s">
        <v>265</v>
      </c>
      <c r="C75" s="20" t="s">
        <v>28</v>
      </c>
      <c r="D75" s="20" t="s">
        <v>384</v>
      </c>
      <c r="E75" s="20" t="s">
        <v>388</v>
      </c>
      <c r="F75" s="20" t="s">
        <v>374</v>
      </c>
      <c r="G75" s="33">
        <v>25</v>
      </c>
      <c r="H75" s="34">
        <f>VLOOKUP($C75,'Raw Cost'!$A$1:$B$484,2,FALSE)/G75</f>
        <v>1.8</v>
      </c>
      <c r="I75" s="34">
        <f t="shared" si="22"/>
        <v>0.1125</v>
      </c>
      <c r="J75" s="35">
        <v>10</v>
      </c>
      <c r="K75" s="35">
        <v>0.25</v>
      </c>
      <c r="L75" s="36">
        <f>VLOOKUP($F75,'Packaging Cost'!$A$1:$F$43,6,FALSE)</f>
        <v>0.9</v>
      </c>
      <c r="M75" s="37">
        <f>IF($E75="Snakpak",(($J75*H75)+($K75*'Labor Cost'!$A$2)+L75)+2.25,($J75*H75)+($K75*'Labor Cost'!$A$2)+L75+1)</f>
        <v>25.774999999999999</v>
      </c>
      <c r="N75" s="38">
        <f t="shared" si="23"/>
        <v>32.21875</v>
      </c>
      <c r="O75" s="38">
        <f t="shared" si="24"/>
        <v>33.5075</v>
      </c>
      <c r="P75" s="38">
        <f t="shared" si="25"/>
        <v>34.796250000000001</v>
      </c>
      <c r="Q75" s="38">
        <f t="shared" si="26"/>
        <v>36.084999999999994</v>
      </c>
      <c r="R75" s="38">
        <f t="shared" si="27"/>
        <v>37.373749999999994</v>
      </c>
      <c r="S75" s="38">
        <f t="shared" si="28"/>
        <v>32.25</v>
      </c>
      <c r="T75" s="38">
        <f t="shared" si="29"/>
        <v>33.5</v>
      </c>
      <c r="U75" s="38">
        <f t="shared" si="30"/>
        <v>34.75</v>
      </c>
      <c r="V75" s="38">
        <f t="shared" si="31"/>
        <v>36</v>
      </c>
      <c r="W75" s="38">
        <f t="shared" si="32"/>
        <v>37.25</v>
      </c>
    </row>
    <row r="76" spans="1:23" ht="21" customHeight="1" x14ac:dyDescent="0.2">
      <c r="A76" s="19" t="s">
        <v>109</v>
      </c>
      <c r="B76" s="19" t="s">
        <v>265</v>
      </c>
      <c r="C76" s="20" t="s">
        <v>28</v>
      </c>
      <c r="D76" s="20" t="s">
        <v>384</v>
      </c>
      <c r="E76" s="20" t="s">
        <v>388</v>
      </c>
      <c r="F76" s="20" t="s">
        <v>376</v>
      </c>
      <c r="G76" s="33">
        <v>25</v>
      </c>
      <c r="H76" s="34">
        <f>VLOOKUP($C76,'Raw Cost'!$A$1:$B$484,2,FALSE)/G76</f>
        <v>1.8</v>
      </c>
      <c r="I76" s="34">
        <f t="shared" si="22"/>
        <v>0.1125</v>
      </c>
      <c r="J76" s="35">
        <v>20</v>
      </c>
      <c r="K76" s="35">
        <v>0.25</v>
      </c>
      <c r="L76" s="36">
        <f>VLOOKUP($F76,'Packaging Cost'!$A$1:$F$43,6,FALSE)</f>
        <v>1.6</v>
      </c>
      <c r="M76" s="37">
        <f>IF($E76="Snakpak",(($J76*H76)+($K76*'Labor Cost'!$A$2)+L76)+2.25,($J76*H76)+($K76*'Labor Cost'!$A$2)+L76+1)</f>
        <v>44.475000000000001</v>
      </c>
      <c r="N76" s="38">
        <f t="shared" si="23"/>
        <v>55.59375</v>
      </c>
      <c r="O76" s="38">
        <f t="shared" si="24"/>
        <v>57.817500000000003</v>
      </c>
      <c r="P76" s="38">
        <f t="shared" si="25"/>
        <v>60.041250000000005</v>
      </c>
      <c r="Q76" s="38">
        <f t="shared" si="26"/>
        <v>62.265000000000001</v>
      </c>
      <c r="R76" s="38">
        <f t="shared" si="27"/>
        <v>64.488749999999996</v>
      </c>
      <c r="S76" s="38">
        <f t="shared" si="28"/>
        <v>55.5</v>
      </c>
      <c r="T76" s="38">
        <f t="shared" si="29"/>
        <v>57.75</v>
      </c>
      <c r="U76" s="38">
        <f t="shared" si="30"/>
        <v>60</v>
      </c>
      <c r="V76" s="38">
        <f t="shared" si="31"/>
        <v>62.25</v>
      </c>
      <c r="W76" s="38">
        <f t="shared" si="32"/>
        <v>64.5</v>
      </c>
    </row>
    <row r="77" spans="1:23" ht="21" customHeight="1" x14ac:dyDescent="0.2">
      <c r="A77" s="19" t="s">
        <v>135</v>
      </c>
      <c r="B77" s="19" t="s">
        <v>299</v>
      </c>
      <c r="C77" s="32" t="s">
        <v>29</v>
      </c>
      <c r="D77" s="32" t="s">
        <v>384</v>
      </c>
      <c r="E77" s="20" t="s">
        <v>388</v>
      </c>
      <c r="F77" s="20" t="s">
        <v>369</v>
      </c>
      <c r="G77" s="33">
        <v>18</v>
      </c>
      <c r="H77" s="34">
        <f>VLOOKUP($C77,'Raw Cost'!$A$1:$B$484,2,FALSE)/G77</f>
        <v>0.94444444444444442</v>
      </c>
      <c r="I77" s="34">
        <f t="shared" si="22"/>
        <v>5.9027777777777776E-2</v>
      </c>
      <c r="J77" s="35">
        <v>20</v>
      </c>
      <c r="K77" s="35">
        <v>0.25</v>
      </c>
      <c r="L77" s="36">
        <f>VLOOKUP($F77,'Packaging Cost'!$A$1:$F$43,6,FALSE)</f>
        <v>1.23</v>
      </c>
      <c r="M77" s="37">
        <f>IF($E77="Snakpak",(($J77*H77)+($K77*'Labor Cost'!$A$2)+L77)+2.25,($J77*H77)+($K77*'Labor Cost'!$A$2)+L77+1)</f>
        <v>26.99388888888889</v>
      </c>
      <c r="N77" s="38">
        <f t="shared" si="23"/>
        <v>33.742361111111109</v>
      </c>
      <c r="O77" s="38">
        <f t="shared" si="24"/>
        <v>35.092055555555561</v>
      </c>
      <c r="P77" s="38">
        <f t="shared" si="25"/>
        <v>36.441750000000006</v>
      </c>
      <c r="Q77" s="38">
        <f t="shared" si="26"/>
        <v>37.791444444444444</v>
      </c>
      <c r="R77" s="38">
        <f t="shared" si="27"/>
        <v>39.141138888888889</v>
      </c>
      <c r="S77" s="38">
        <f t="shared" si="28"/>
        <v>33.75</v>
      </c>
      <c r="T77" s="38">
        <f t="shared" si="29"/>
        <v>35</v>
      </c>
      <c r="U77" s="38">
        <f t="shared" si="30"/>
        <v>36.5</v>
      </c>
      <c r="V77" s="38">
        <f t="shared" si="31"/>
        <v>37.75</v>
      </c>
      <c r="W77" s="38">
        <f t="shared" si="32"/>
        <v>39.25</v>
      </c>
    </row>
    <row r="78" spans="1:23" ht="21" customHeight="1" x14ac:dyDescent="0.2">
      <c r="A78" s="19" t="s">
        <v>136</v>
      </c>
      <c r="B78" s="19" t="s">
        <v>300</v>
      </c>
      <c r="C78" s="32" t="s">
        <v>29</v>
      </c>
      <c r="D78" s="32" t="s">
        <v>384</v>
      </c>
      <c r="E78" s="20" t="s">
        <v>388</v>
      </c>
      <c r="F78" s="20" t="s">
        <v>375</v>
      </c>
      <c r="G78" s="33">
        <v>18</v>
      </c>
      <c r="H78" s="34">
        <f>VLOOKUP($C78,'Raw Cost'!$A$1:$B$484,2,FALSE)/G78</f>
        <v>0.94444444444444442</v>
      </c>
      <c r="I78" s="34">
        <f t="shared" si="22"/>
        <v>5.9027777777777776E-2</v>
      </c>
      <c r="J78" s="35">
        <v>5</v>
      </c>
      <c r="K78" s="35">
        <v>0.25</v>
      </c>
      <c r="L78" s="36">
        <f>VLOOKUP($F78,'Packaging Cost'!$A$1:$F$43,6,FALSE)</f>
        <v>0.59</v>
      </c>
      <c r="M78" s="37">
        <f>IF($E78="Snakpak",(($J78*H78)+($K78*'Labor Cost'!$A$2)+L78)+2.25,($J78*H78)+($K78*'Labor Cost'!$A$2)+L78+1)</f>
        <v>12.187222222222221</v>
      </c>
      <c r="N78" s="38">
        <f t="shared" si="23"/>
        <v>15.234027777777776</v>
      </c>
      <c r="O78" s="38">
        <f t="shared" si="24"/>
        <v>15.843388888888889</v>
      </c>
      <c r="P78" s="38">
        <f t="shared" si="25"/>
        <v>16.452749999999998</v>
      </c>
      <c r="Q78" s="38">
        <f t="shared" si="26"/>
        <v>17.062111111111108</v>
      </c>
      <c r="R78" s="38">
        <f t="shared" si="27"/>
        <v>17.671472222222221</v>
      </c>
      <c r="S78" s="38">
        <f t="shared" si="28"/>
        <v>15.25</v>
      </c>
      <c r="T78" s="38">
        <f t="shared" si="29"/>
        <v>15.75</v>
      </c>
      <c r="U78" s="38">
        <f t="shared" si="30"/>
        <v>16.5</v>
      </c>
      <c r="V78" s="38">
        <f t="shared" si="31"/>
        <v>17</v>
      </c>
      <c r="W78" s="38">
        <f t="shared" si="32"/>
        <v>17.75</v>
      </c>
    </row>
    <row r="79" spans="1:23" ht="21" customHeight="1" x14ac:dyDescent="0.2">
      <c r="A79" s="19" t="s">
        <v>137</v>
      </c>
      <c r="B79" s="19" t="s">
        <v>302</v>
      </c>
      <c r="C79" s="32" t="s">
        <v>29</v>
      </c>
      <c r="D79" s="32" t="s">
        <v>384</v>
      </c>
      <c r="E79" s="20" t="s">
        <v>388</v>
      </c>
      <c r="F79" s="20" t="s">
        <v>398</v>
      </c>
      <c r="G79" s="33">
        <v>18</v>
      </c>
      <c r="H79" s="34">
        <f>VLOOKUP($C79,'Raw Cost'!$A$1:$B$484,2,FALSE)/G79</f>
        <v>0.94444444444444442</v>
      </c>
      <c r="I79" s="34">
        <f t="shared" si="22"/>
        <v>5.9027777777777776E-2</v>
      </c>
      <c r="J79" s="35">
        <v>10</v>
      </c>
      <c r="K79" s="35">
        <v>0.25</v>
      </c>
      <c r="L79" s="36">
        <f>VLOOKUP($F79,'Packaging Cost'!$A$1:$F$43,6,FALSE)</f>
        <v>2.52</v>
      </c>
      <c r="M79" s="37">
        <f>IF($E79="Snakpak",(($J79*H79)+($K79*'Labor Cost'!$A$2)+L79)+2.25,($J79*H79)+($K79*'Labor Cost'!$A$2)+L79+1)</f>
        <v>18.839444444444446</v>
      </c>
      <c r="N79" s="38">
        <f t="shared" si="23"/>
        <v>23.549305555555556</v>
      </c>
      <c r="O79" s="38">
        <f t="shared" si="24"/>
        <v>24.491277777777782</v>
      </c>
      <c r="P79" s="38">
        <f t="shared" si="25"/>
        <v>25.433250000000005</v>
      </c>
      <c r="Q79" s="38">
        <f t="shared" si="26"/>
        <v>26.375222222222224</v>
      </c>
      <c r="R79" s="38">
        <f t="shared" si="27"/>
        <v>27.317194444444446</v>
      </c>
      <c r="S79" s="38">
        <f t="shared" si="28"/>
        <v>23.5</v>
      </c>
      <c r="T79" s="38">
        <f t="shared" si="29"/>
        <v>24.5</v>
      </c>
      <c r="U79" s="38">
        <f t="shared" si="30"/>
        <v>25.5</v>
      </c>
      <c r="V79" s="38">
        <f t="shared" si="31"/>
        <v>26.5</v>
      </c>
      <c r="W79" s="38">
        <f t="shared" si="32"/>
        <v>27.25</v>
      </c>
    </row>
    <row r="80" spans="1:23" ht="21" customHeight="1" x14ac:dyDescent="0.2">
      <c r="A80" s="19" t="s">
        <v>99</v>
      </c>
      <c r="B80" s="19" t="s">
        <v>301</v>
      </c>
      <c r="C80" s="32" t="s">
        <v>29</v>
      </c>
      <c r="D80" s="32" t="s">
        <v>384</v>
      </c>
      <c r="E80" s="20" t="s">
        <v>388</v>
      </c>
      <c r="F80" s="20" t="s">
        <v>369</v>
      </c>
      <c r="G80" s="33">
        <v>18</v>
      </c>
      <c r="H80" s="34">
        <f>VLOOKUP($C80,'Raw Cost'!$A$1:$B$484,2,FALSE)/G80</f>
        <v>0.94444444444444442</v>
      </c>
      <c r="I80" s="34">
        <f t="shared" si="22"/>
        <v>5.9027777777777776E-2</v>
      </c>
      <c r="J80" s="35">
        <v>20</v>
      </c>
      <c r="K80" s="35">
        <v>0.25</v>
      </c>
      <c r="L80" s="36">
        <f>VLOOKUP($F80,'Packaging Cost'!$A$1:$F$43,6,FALSE)</f>
        <v>1.23</v>
      </c>
      <c r="M80" s="37">
        <f>IF($E80="Snakpak",(($J80*H80)+($K80*'Labor Cost'!$A$2)+L80)+2.25,($J80*H80)+($K80*'Labor Cost'!$A$2)+L80+1)</f>
        <v>26.99388888888889</v>
      </c>
      <c r="N80" s="38">
        <f t="shared" si="23"/>
        <v>33.742361111111109</v>
      </c>
      <c r="O80" s="38">
        <f t="shared" si="24"/>
        <v>35.092055555555561</v>
      </c>
      <c r="P80" s="38">
        <f t="shared" si="25"/>
        <v>36.441750000000006</v>
      </c>
      <c r="Q80" s="38">
        <f t="shared" si="26"/>
        <v>37.791444444444444</v>
      </c>
      <c r="R80" s="38">
        <f t="shared" si="27"/>
        <v>39.141138888888889</v>
      </c>
      <c r="S80" s="38">
        <f t="shared" si="28"/>
        <v>33.75</v>
      </c>
      <c r="T80" s="38">
        <f t="shared" si="29"/>
        <v>35</v>
      </c>
      <c r="U80" s="38">
        <f t="shared" si="30"/>
        <v>36.5</v>
      </c>
      <c r="V80" s="38">
        <f t="shared" si="31"/>
        <v>37.75</v>
      </c>
      <c r="W80" s="38">
        <f t="shared" si="32"/>
        <v>39.25</v>
      </c>
    </row>
    <row r="81" spans="1:23" ht="21" customHeight="1" x14ac:dyDescent="0.2">
      <c r="A81" s="19" t="s">
        <v>138</v>
      </c>
      <c r="B81" s="19" t="s">
        <v>303</v>
      </c>
      <c r="C81" s="32" t="s">
        <v>29</v>
      </c>
      <c r="D81" s="32" t="s">
        <v>384</v>
      </c>
      <c r="E81" s="20" t="s">
        <v>388</v>
      </c>
      <c r="F81" s="20" t="s">
        <v>375</v>
      </c>
      <c r="G81" s="33">
        <v>18</v>
      </c>
      <c r="H81" s="34">
        <f>VLOOKUP($C81,'Raw Cost'!$A$1:$B$484,2,FALSE)/G81</f>
        <v>0.94444444444444442</v>
      </c>
      <c r="I81" s="34">
        <f t="shared" si="22"/>
        <v>5.9027777777777776E-2</v>
      </c>
      <c r="J81" s="35">
        <v>5</v>
      </c>
      <c r="K81" s="35">
        <v>0.25</v>
      </c>
      <c r="L81" s="36">
        <f>VLOOKUP($F81,'Packaging Cost'!$A$1:$F$43,6,FALSE)</f>
        <v>0.59</v>
      </c>
      <c r="M81" s="37">
        <f>IF($E81="Snakpak",(($J81*H81)+($K81*'Labor Cost'!$A$2)+L81)+2.25,($J81*H81)+($K81*'Labor Cost'!$A$2)+L81+1)</f>
        <v>12.187222222222221</v>
      </c>
      <c r="N81" s="38">
        <f t="shared" si="23"/>
        <v>15.234027777777776</v>
      </c>
      <c r="O81" s="38">
        <f t="shared" si="24"/>
        <v>15.843388888888889</v>
      </c>
      <c r="P81" s="38">
        <f t="shared" si="25"/>
        <v>16.452749999999998</v>
      </c>
      <c r="Q81" s="38">
        <f t="shared" si="26"/>
        <v>17.062111111111108</v>
      </c>
      <c r="R81" s="38">
        <f t="shared" si="27"/>
        <v>17.671472222222221</v>
      </c>
      <c r="S81" s="38">
        <f t="shared" si="28"/>
        <v>15.25</v>
      </c>
      <c r="T81" s="38">
        <f t="shared" si="29"/>
        <v>15.75</v>
      </c>
      <c r="U81" s="38">
        <f t="shared" si="30"/>
        <v>16.5</v>
      </c>
      <c r="V81" s="38">
        <f t="shared" si="31"/>
        <v>17</v>
      </c>
      <c r="W81" s="38">
        <f t="shared" si="32"/>
        <v>17.75</v>
      </c>
    </row>
    <row r="82" spans="1:23" ht="21" customHeight="1" x14ac:dyDescent="0.2">
      <c r="A82" s="19" t="s">
        <v>139</v>
      </c>
      <c r="B82" s="19" t="s">
        <v>304</v>
      </c>
      <c r="C82" s="32" t="s">
        <v>29</v>
      </c>
      <c r="D82" s="32" t="s">
        <v>384</v>
      </c>
      <c r="E82" s="20" t="s">
        <v>388</v>
      </c>
      <c r="F82" s="20" t="s">
        <v>369</v>
      </c>
      <c r="G82" s="33">
        <v>18</v>
      </c>
      <c r="H82" s="34">
        <f>VLOOKUP($C82,'Raw Cost'!$A$1:$B$484,2,FALSE)/G82</f>
        <v>0.94444444444444442</v>
      </c>
      <c r="I82" s="34">
        <f t="shared" si="22"/>
        <v>5.9027777777777776E-2</v>
      </c>
      <c r="J82" s="35">
        <v>30</v>
      </c>
      <c r="K82" s="35">
        <v>0.25</v>
      </c>
      <c r="L82" s="36">
        <f>VLOOKUP($F82,'Packaging Cost'!$A$1:$F$43,6,FALSE)</f>
        <v>1.23</v>
      </c>
      <c r="M82" s="37">
        <f>IF($E82="Snakpak",(($J82*H82)+($K82*'Labor Cost'!$A$2)+L82)+2.25,($J82*H82)+($K82*'Labor Cost'!$A$2)+L82+1)</f>
        <v>36.438333333333325</v>
      </c>
      <c r="N82" s="38">
        <f t="shared" si="23"/>
        <v>45.547916666666659</v>
      </c>
      <c r="O82" s="38">
        <f t="shared" si="24"/>
        <v>47.369833333333325</v>
      </c>
      <c r="P82" s="38">
        <f t="shared" si="25"/>
        <v>49.191749999999992</v>
      </c>
      <c r="Q82" s="38">
        <f t="shared" si="26"/>
        <v>51.013666666666651</v>
      </c>
      <c r="R82" s="38">
        <f t="shared" si="27"/>
        <v>52.835583333333318</v>
      </c>
      <c r="S82" s="38">
        <f t="shared" si="28"/>
        <v>45.5</v>
      </c>
      <c r="T82" s="38">
        <f t="shared" si="29"/>
        <v>47.25</v>
      </c>
      <c r="U82" s="38">
        <f t="shared" si="30"/>
        <v>49.25</v>
      </c>
      <c r="V82" s="38">
        <f t="shared" si="31"/>
        <v>51</v>
      </c>
      <c r="W82" s="38">
        <f t="shared" si="32"/>
        <v>52.75</v>
      </c>
    </row>
    <row r="83" spans="1:23" ht="21" customHeight="1" x14ac:dyDescent="0.2">
      <c r="A83" s="19" t="s">
        <v>455</v>
      </c>
      <c r="B83" s="19" t="s">
        <v>305</v>
      </c>
      <c r="C83" s="32" t="s">
        <v>29</v>
      </c>
      <c r="D83" s="32" t="s">
        <v>384</v>
      </c>
      <c r="E83" s="20" t="s">
        <v>388</v>
      </c>
      <c r="F83" s="20" t="s">
        <v>375</v>
      </c>
      <c r="G83" s="33">
        <v>18</v>
      </c>
      <c r="H83" s="34">
        <f>VLOOKUP($C83,'Raw Cost'!$A$1:$B$484,2,FALSE)/G83</f>
        <v>0.94444444444444442</v>
      </c>
      <c r="I83" s="34">
        <f t="shared" si="22"/>
        <v>5.9027777777777776E-2</v>
      </c>
      <c r="J83" s="35">
        <v>2</v>
      </c>
      <c r="K83" s="35">
        <v>0.2</v>
      </c>
      <c r="L83" s="36">
        <f>VLOOKUP($F83,'Packaging Cost'!$A$1:$F$43,6,FALSE)</f>
        <v>0.59</v>
      </c>
      <c r="M83" s="37">
        <f>IF($E83="Snakpak",(($J83*H83)+($K83*'Labor Cost'!$A$2)+L83)+2.25,($J83*H83)+($K83*'Labor Cost'!$A$2)+L83+1)</f>
        <v>8.1788888888888884</v>
      </c>
      <c r="N83" s="38">
        <f t="shared" si="23"/>
        <v>10.223611111111111</v>
      </c>
      <c r="O83" s="38">
        <f t="shared" si="24"/>
        <v>10.632555555555555</v>
      </c>
      <c r="P83" s="38">
        <f t="shared" si="25"/>
        <v>11.041500000000001</v>
      </c>
      <c r="Q83" s="38">
        <f t="shared" si="26"/>
        <v>11.450444444444443</v>
      </c>
      <c r="R83" s="38">
        <f t="shared" si="27"/>
        <v>11.859388888888887</v>
      </c>
      <c r="S83" s="38">
        <f t="shared" si="28"/>
        <v>10.25</v>
      </c>
      <c r="T83" s="38">
        <f t="shared" si="29"/>
        <v>10.75</v>
      </c>
      <c r="U83" s="38">
        <f t="shared" si="30"/>
        <v>11</v>
      </c>
      <c r="V83" s="38">
        <f t="shared" si="31"/>
        <v>11.5</v>
      </c>
      <c r="W83" s="38">
        <f t="shared" si="32"/>
        <v>11.75</v>
      </c>
    </row>
    <row r="84" spans="1:23" ht="21" customHeight="1" x14ac:dyDescent="0.2">
      <c r="A84" s="19" t="s">
        <v>1052</v>
      </c>
      <c r="B84" s="19" t="s">
        <v>307</v>
      </c>
      <c r="C84" s="32" t="s">
        <v>1053</v>
      </c>
      <c r="D84" s="32" t="s">
        <v>384</v>
      </c>
      <c r="E84" s="20" t="s">
        <v>388</v>
      </c>
      <c r="F84" s="20" t="s">
        <v>398</v>
      </c>
      <c r="G84" s="33">
        <v>5</v>
      </c>
      <c r="H84" s="34">
        <f>VLOOKUP($C84,'Raw Cost'!$A$1:$B$484,2,FALSE)/G84</f>
        <v>3.4</v>
      </c>
      <c r="I84" s="34">
        <f t="shared" si="22"/>
        <v>0.21249999999999999</v>
      </c>
      <c r="J84" s="35">
        <v>10</v>
      </c>
      <c r="K84" s="35">
        <v>0.25</v>
      </c>
      <c r="L84" s="36">
        <f>VLOOKUP($F84,'Packaging Cost'!$A$1:$F$43,6,FALSE)</f>
        <v>2.52</v>
      </c>
      <c r="M84" s="37">
        <f>IF($E84="Snakpak",(($J84*H84)+($K84*'Labor Cost'!$A$2)+L84)+2.25,($J84*H84)+($K84*'Labor Cost'!$A$2)+L84+1)</f>
        <v>43.395000000000003</v>
      </c>
      <c r="N84" s="38">
        <f t="shared" si="23"/>
        <v>54.243750000000006</v>
      </c>
      <c r="O84" s="38">
        <f t="shared" si="24"/>
        <v>56.413500000000006</v>
      </c>
      <c r="P84" s="38">
        <f t="shared" si="25"/>
        <v>58.583250000000007</v>
      </c>
      <c r="Q84" s="38">
        <f t="shared" si="26"/>
        <v>60.753</v>
      </c>
      <c r="R84" s="38">
        <f t="shared" si="27"/>
        <v>62.922750000000001</v>
      </c>
      <c r="S84" s="38">
        <f t="shared" si="28"/>
        <v>54.25</v>
      </c>
      <c r="T84" s="38">
        <f t="shared" si="29"/>
        <v>56.5</v>
      </c>
      <c r="U84" s="38">
        <f t="shared" si="30"/>
        <v>58.5</v>
      </c>
      <c r="V84" s="38">
        <f t="shared" si="31"/>
        <v>60.75</v>
      </c>
      <c r="W84" s="38">
        <f t="shared" si="32"/>
        <v>63</v>
      </c>
    </row>
    <row r="85" spans="1:23" ht="21" customHeight="1" x14ac:dyDescent="0.2">
      <c r="A85" s="19" t="s">
        <v>100</v>
      </c>
      <c r="B85" s="19" t="s">
        <v>307</v>
      </c>
      <c r="C85" s="32" t="s">
        <v>29</v>
      </c>
      <c r="D85" s="32" t="s">
        <v>384</v>
      </c>
      <c r="E85" s="20" t="s">
        <v>388</v>
      </c>
      <c r="F85" s="20" t="s">
        <v>398</v>
      </c>
      <c r="G85" s="33">
        <v>18</v>
      </c>
      <c r="H85" s="34">
        <f>VLOOKUP($C85,'Raw Cost'!$A$1:$B$484,2,FALSE)/G85</f>
        <v>0.94444444444444442</v>
      </c>
      <c r="I85" s="34">
        <f t="shared" si="22"/>
        <v>5.9027777777777776E-2</v>
      </c>
      <c r="J85" s="35">
        <v>10</v>
      </c>
      <c r="K85" s="35">
        <v>0.25</v>
      </c>
      <c r="L85" s="36">
        <f>VLOOKUP($F85,'Packaging Cost'!$A$1:$F$43,6,FALSE)</f>
        <v>2.52</v>
      </c>
      <c r="M85" s="37">
        <f>IF($E85="Snakpak",(($J85*H85)+($K85*'Labor Cost'!$A$2)+L85)+2.25,($J85*H85)+($K85*'Labor Cost'!$A$2)+L85+1)</f>
        <v>18.839444444444446</v>
      </c>
      <c r="N85" s="38">
        <f t="shared" si="23"/>
        <v>23.549305555555556</v>
      </c>
      <c r="O85" s="38">
        <f t="shared" si="24"/>
        <v>24.491277777777782</v>
      </c>
      <c r="P85" s="38">
        <f t="shared" si="25"/>
        <v>25.433250000000005</v>
      </c>
      <c r="Q85" s="38">
        <f t="shared" si="26"/>
        <v>26.375222222222224</v>
      </c>
      <c r="R85" s="38">
        <f t="shared" si="27"/>
        <v>27.317194444444446</v>
      </c>
      <c r="S85" s="38">
        <f t="shared" si="28"/>
        <v>23.5</v>
      </c>
      <c r="T85" s="38">
        <f t="shared" si="29"/>
        <v>24.5</v>
      </c>
      <c r="U85" s="38">
        <f t="shared" si="30"/>
        <v>25.5</v>
      </c>
      <c r="V85" s="38">
        <f t="shared" si="31"/>
        <v>26.5</v>
      </c>
      <c r="W85" s="38">
        <f t="shared" si="32"/>
        <v>27.25</v>
      </c>
    </row>
    <row r="86" spans="1:23" ht="21" customHeight="1" x14ac:dyDescent="0.2">
      <c r="A86" s="19" t="s">
        <v>133</v>
      </c>
      <c r="B86" s="19" t="s">
        <v>306</v>
      </c>
      <c r="C86" s="32" t="s">
        <v>29</v>
      </c>
      <c r="D86" s="32" t="s">
        <v>384</v>
      </c>
      <c r="E86" s="20" t="s">
        <v>388</v>
      </c>
      <c r="F86" s="20" t="s">
        <v>369</v>
      </c>
      <c r="G86" s="33">
        <v>18</v>
      </c>
      <c r="H86" s="34">
        <f>VLOOKUP($C86,'Raw Cost'!$A$1:$B$484,2,FALSE)/G86</f>
        <v>0.94444444444444442</v>
      </c>
      <c r="I86" s="34">
        <f t="shared" si="22"/>
        <v>5.9027777777777776E-2</v>
      </c>
      <c r="J86" s="35">
        <v>20</v>
      </c>
      <c r="K86" s="35">
        <v>0.3</v>
      </c>
      <c r="L86" s="36">
        <f>VLOOKUP($F86,'Packaging Cost'!$A$1:$F$43,6,FALSE)</f>
        <v>1.23</v>
      </c>
      <c r="M86" s="37">
        <f>IF($E86="Snakpak",(($J86*H86)+($K86*'Labor Cost'!$A$2)+L86)+2.25,($J86*H86)+($K86*'Labor Cost'!$A$2)+L86+1)</f>
        <v>28.16888888888889</v>
      </c>
      <c r="N86" s="38">
        <f t="shared" si="23"/>
        <v>35.211111111111116</v>
      </c>
      <c r="O86" s="38">
        <f t="shared" si="24"/>
        <v>36.619555555555557</v>
      </c>
      <c r="P86" s="38">
        <f t="shared" si="25"/>
        <v>38.028000000000006</v>
      </c>
      <c r="Q86" s="38">
        <f t="shared" si="26"/>
        <v>39.436444444444447</v>
      </c>
      <c r="R86" s="38">
        <f t="shared" si="27"/>
        <v>40.844888888888889</v>
      </c>
      <c r="S86" s="38">
        <f t="shared" si="28"/>
        <v>35.25</v>
      </c>
      <c r="T86" s="38">
        <f t="shared" si="29"/>
        <v>36.5</v>
      </c>
      <c r="U86" s="38">
        <f t="shared" si="30"/>
        <v>38</v>
      </c>
      <c r="V86" s="38">
        <f t="shared" si="31"/>
        <v>39.5</v>
      </c>
      <c r="W86" s="38">
        <f t="shared" si="32"/>
        <v>40.75</v>
      </c>
    </row>
    <row r="87" spans="1:23" ht="21" customHeight="1" x14ac:dyDescent="0.2">
      <c r="A87" s="19" t="s">
        <v>413</v>
      </c>
      <c r="B87" s="19" t="s">
        <v>414</v>
      </c>
      <c r="C87" s="32" t="s">
        <v>29</v>
      </c>
      <c r="D87" s="32" t="s">
        <v>384</v>
      </c>
      <c r="E87" s="20" t="s">
        <v>388</v>
      </c>
      <c r="F87" s="20" t="s">
        <v>410</v>
      </c>
      <c r="G87" s="33">
        <v>25</v>
      </c>
      <c r="H87" s="34">
        <f>VLOOKUP($C87,'Raw Cost'!$A$1:$B$484,2,FALSE)/G87</f>
        <v>0.68</v>
      </c>
      <c r="I87" s="34">
        <f t="shared" si="22"/>
        <v>4.2500000000000003E-2</v>
      </c>
      <c r="J87" s="35">
        <v>5</v>
      </c>
      <c r="K87" s="35">
        <v>0.1</v>
      </c>
      <c r="L87" s="36">
        <f>VLOOKUP($F87,'Packaging Cost'!$A$1:$F$43,6,FALSE)</f>
        <v>0.2</v>
      </c>
      <c r="M87" s="37">
        <f>IF($E87="Snakpak",(($J87*H87)+($K87*'Labor Cost'!$A$2)+L87)+2.25,($J87*H87)+($K87*'Labor Cost'!$A$2)+L87)</f>
        <v>5.95</v>
      </c>
      <c r="N87" s="38">
        <f t="shared" si="23"/>
        <v>7.4375</v>
      </c>
      <c r="O87" s="38">
        <f t="shared" si="24"/>
        <v>7.7350000000000003</v>
      </c>
      <c r="P87" s="38">
        <f t="shared" si="25"/>
        <v>8.0325000000000006</v>
      </c>
      <c r="Q87" s="38">
        <f t="shared" si="26"/>
        <v>8.33</v>
      </c>
      <c r="R87" s="38">
        <f t="shared" si="27"/>
        <v>8.6274999999999995</v>
      </c>
      <c r="S87" s="38">
        <f t="shared" si="28"/>
        <v>7.5</v>
      </c>
      <c r="T87" s="38">
        <f t="shared" si="29"/>
        <v>7.75</v>
      </c>
      <c r="U87" s="38">
        <f t="shared" si="30"/>
        <v>8</v>
      </c>
      <c r="V87" s="38">
        <f t="shared" si="31"/>
        <v>8.25</v>
      </c>
      <c r="W87" s="38">
        <f t="shared" si="32"/>
        <v>8.75</v>
      </c>
    </row>
    <row r="88" spans="1:23" ht="21" customHeight="1" x14ac:dyDescent="0.2">
      <c r="A88" s="19" t="s">
        <v>169</v>
      </c>
      <c r="B88" s="19" t="s">
        <v>352</v>
      </c>
      <c r="C88" s="20" t="s">
        <v>30</v>
      </c>
      <c r="D88" s="20" t="s">
        <v>384</v>
      </c>
      <c r="E88" s="20" t="s">
        <v>388</v>
      </c>
      <c r="F88" s="20" t="s">
        <v>375</v>
      </c>
      <c r="G88" s="33">
        <v>32</v>
      </c>
      <c r="H88" s="34">
        <f>VLOOKUP($C88,'Raw Cost'!$A$1:$B$484,2,FALSE)/G88</f>
        <v>0.4375</v>
      </c>
      <c r="I88" s="34">
        <f t="shared" si="22"/>
        <v>2.734375E-2</v>
      </c>
      <c r="J88" s="35">
        <v>5</v>
      </c>
      <c r="K88" s="35">
        <v>0.25</v>
      </c>
      <c r="L88" s="36">
        <f>VLOOKUP($F88,'Packaging Cost'!$A$1:$F$43,6,FALSE)</f>
        <v>0.59</v>
      </c>
      <c r="M88" s="37">
        <f>IF($E88="Snakpak",(($J88*H88)+($K88*'Labor Cost'!$A$2)+L88)+2.25,($J88*H88)+($K88*'Labor Cost'!$A$2)+L88+1)</f>
        <v>9.6524999999999999</v>
      </c>
      <c r="N88" s="38">
        <f t="shared" si="23"/>
        <v>12.065625000000001</v>
      </c>
      <c r="O88" s="38">
        <f t="shared" si="24"/>
        <v>12.548249999999999</v>
      </c>
      <c r="P88" s="38">
        <f t="shared" si="25"/>
        <v>13.030875</v>
      </c>
      <c r="Q88" s="38">
        <f t="shared" si="26"/>
        <v>13.513499999999999</v>
      </c>
      <c r="R88" s="38">
        <f t="shared" si="27"/>
        <v>13.996124999999999</v>
      </c>
      <c r="S88" s="38">
        <f t="shared" si="28"/>
        <v>12</v>
      </c>
      <c r="T88" s="38">
        <f t="shared" si="29"/>
        <v>12.5</v>
      </c>
      <c r="U88" s="38">
        <f t="shared" si="30"/>
        <v>13</v>
      </c>
      <c r="V88" s="38">
        <f t="shared" si="31"/>
        <v>13.5</v>
      </c>
      <c r="W88" s="38">
        <f t="shared" si="32"/>
        <v>14</v>
      </c>
    </row>
    <row r="89" spans="1:23" ht="21" customHeight="1" x14ac:dyDescent="0.2">
      <c r="A89" s="19" t="s">
        <v>1049</v>
      </c>
      <c r="B89" s="19" t="s">
        <v>345</v>
      </c>
      <c r="C89" s="32" t="s">
        <v>1041</v>
      </c>
      <c r="D89" s="32" t="s">
        <v>384</v>
      </c>
      <c r="E89" s="20" t="s">
        <v>388</v>
      </c>
      <c r="F89" s="20" t="s">
        <v>369</v>
      </c>
      <c r="G89" s="33">
        <v>29</v>
      </c>
      <c r="H89" s="34">
        <f>VLOOKUP($C89,'Raw Cost'!$A$1:$B$484,2,FALSE)/G89</f>
        <v>1.0344827586206897</v>
      </c>
      <c r="I89" s="34">
        <f t="shared" si="22"/>
        <v>6.4655172413793108E-2</v>
      </c>
      <c r="J89" s="35">
        <v>20</v>
      </c>
      <c r="K89" s="35">
        <v>0.25</v>
      </c>
      <c r="L89" s="36">
        <f>VLOOKUP($F89,'Packaging Cost'!$A$1:$F$43,6,FALSE)</f>
        <v>1.23</v>
      </c>
      <c r="M89" s="37">
        <f>IF($E89="Snakpak",(($J89*H89)+($K89*'Labor Cost'!$A$2)+L89)+2.25,($J89*H89)+($K89*'Labor Cost'!$A$2)+L89+1)</f>
        <v>28.794655172413794</v>
      </c>
      <c r="N89" s="38">
        <f t="shared" si="23"/>
        <v>35.99331896551724</v>
      </c>
      <c r="O89" s="38">
        <f t="shared" si="24"/>
        <v>37.433051724137933</v>
      </c>
      <c r="P89" s="38">
        <f t="shared" si="25"/>
        <v>38.872784482758625</v>
      </c>
      <c r="Q89" s="38">
        <f t="shared" si="26"/>
        <v>40.312517241379311</v>
      </c>
      <c r="R89" s="38">
        <f t="shared" si="27"/>
        <v>41.752249999999997</v>
      </c>
      <c r="S89" s="38">
        <f t="shared" si="28"/>
        <v>36</v>
      </c>
      <c r="T89" s="38">
        <f t="shared" si="29"/>
        <v>37.5</v>
      </c>
      <c r="U89" s="38">
        <f t="shared" si="30"/>
        <v>38.75</v>
      </c>
      <c r="V89" s="38">
        <f t="shared" si="31"/>
        <v>40.25</v>
      </c>
      <c r="W89" s="38">
        <f t="shared" si="32"/>
        <v>41.75</v>
      </c>
    </row>
    <row r="90" spans="1:23" ht="21" customHeight="1" x14ac:dyDescent="0.2">
      <c r="A90" s="19" t="s">
        <v>166</v>
      </c>
      <c r="B90" s="19" t="s">
        <v>346</v>
      </c>
      <c r="C90" s="32" t="s">
        <v>30</v>
      </c>
      <c r="D90" s="32" t="s">
        <v>384</v>
      </c>
      <c r="E90" s="20" t="s">
        <v>388</v>
      </c>
      <c r="F90" s="20" t="s">
        <v>374</v>
      </c>
      <c r="G90" s="33">
        <v>32</v>
      </c>
      <c r="H90" s="34">
        <f>VLOOKUP($C90,'Raw Cost'!$A$1:$B$484,2,FALSE)/G90</f>
        <v>0.4375</v>
      </c>
      <c r="I90" s="34">
        <f t="shared" si="22"/>
        <v>2.734375E-2</v>
      </c>
      <c r="J90" s="35">
        <v>10</v>
      </c>
      <c r="K90" s="35">
        <v>0.25</v>
      </c>
      <c r="L90" s="36">
        <f>VLOOKUP($F90,'Packaging Cost'!$A$1:$F$43,6,FALSE)</f>
        <v>0.9</v>
      </c>
      <c r="M90" s="37">
        <f>IF($E90="Snakpak",(($J90*H90)+($K90*'Labor Cost'!$A$2)+L90)+2.25,($J90*H90)+($K90*'Labor Cost'!$A$2)+L90+1)</f>
        <v>12.15</v>
      </c>
      <c r="N90" s="38">
        <f t="shared" si="23"/>
        <v>15.1875</v>
      </c>
      <c r="O90" s="38">
        <f t="shared" si="24"/>
        <v>15.795000000000002</v>
      </c>
      <c r="P90" s="38">
        <f t="shared" si="25"/>
        <v>16.4025</v>
      </c>
      <c r="Q90" s="38">
        <f t="shared" si="26"/>
        <v>17.009999999999998</v>
      </c>
      <c r="R90" s="38">
        <f t="shared" si="27"/>
        <v>17.6175</v>
      </c>
      <c r="S90" s="38">
        <f t="shared" si="28"/>
        <v>15.25</v>
      </c>
      <c r="T90" s="38">
        <f t="shared" si="29"/>
        <v>15.75</v>
      </c>
      <c r="U90" s="38">
        <f t="shared" si="30"/>
        <v>16.5</v>
      </c>
      <c r="V90" s="38">
        <f t="shared" si="31"/>
        <v>17</v>
      </c>
      <c r="W90" s="38">
        <f t="shared" si="32"/>
        <v>17.5</v>
      </c>
    </row>
    <row r="91" spans="1:23" ht="21" customHeight="1" x14ac:dyDescent="0.2">
      <c r="A91" s="19" t="s">
        <v>103</v>
      </c>
      <c r="B91" s="19" t="s">
        <v>345</v>
      </c>
      <c r="C91" s="32" t="s">
        <v>30</v>
      </c>
      <c r="D91" s="32" t="s">
        <v>384</v>
      </c>
      <c r="E91" s="20" t="s">
        <v>388</v>
      </c>
      <c r="F91" s="20" t="s">
        <v>369</v>
      </c>
      <c r="G91" s="33">
        <v>32</v>
      </c>
      <c r="H91" s="34">
        <f>VLOOKUP($C91,'Raw Cost'!$A$1:$B$484,2,FALSE)/G91</f>
        <v>0.4375</v>
      </c>
      <c r="I91" s="34">
        <f t="shared" si="22"/>
        <v>2.734375E-2</v>
      </c>
      <c r="J91" s="35">
        <v>20</v>
      </c>
      <c r="K91" s="35">
        <v>0.25</v>
      </c>
      <c r="L91" s="36">
        <f>VLOOKUP($F91,'Packaging Cost'!$A$1:$F$43,6,FALSE)</f>
        <v>1.23</v>
      </c>
      <c r="M91" s="37">
        <f>IF($E91="Snakpak",(($J91*H91)+($K91*'Labor Cost'!$A$2)+L91)+2.25,($J91*H91)+($K91*'Labor Cost'!$A$2)+L91+1)</f>
        <v>16.855</v>
      </c>
      <c r="N91" s="38">
        <f t="shared" si="23"/>
        <v>21.068750000000001</v>
      </c>
      <c r="O91" s="38">
        <f t="shared" si="24"/>
        <v>21.9115</v>
      </c>
      <c r="P91" s="38">
        <f t="shared" si="25"/>
        <v>22.754250000000003</v>
      </c>
      <c r="Q91" s="38">
        <f t="shared" si="26"/>
        <v>23.596999999999998</v>
      </c>
      <c r="R91" s="38">
        <f t="shared" si="27"/>
        <v>24.43975</v>
      </c>
      <c r="S91" s="38">
        <f t="shared" si="28"/>
        <v>21</v>
      </c>
      <c r="T91" s="38">
        <f t="shared" si="29"/>
        <v>22</v>
      </c>
      <c r="U91" s="38">
        <f t="shared" si="30"/>
        <v>22.75</v>
      </c>
      <c r="V91" s="38">
        <f t="shared" si="31"/>
        <v>23.5</v>
      </c>
      <c r="W91" s="38">
        <f t="shared" si="32"/>
        <v>24.5</v>
      </c>
    </row>
    <row r="92" spans="1:23" ht="21" customHeight="1" x14ac:dyDescent="0.2">
      <c r="A92" s="19" t="s">
        <v>167</v>
      </c>
      <c r="B92" s="19" t="s">
        <v>348</v>
      </c>
      <c r="C92" s="32" t="s">
        <v>30</v>
      </c>
      <c r="D92" s="32" t="s">
        <v>384</v>
      </c>
      <c r="E92" s="20" t="s">
        <v>388</v>
      </c>
      <c r="F92" s="20" t="s">
        <v>374</v>
      </c>
      <c r="G92" s="33">
        <v>32</v>
      </c>
      <c r="H92" s="34">
        <f>VLOOKUP($C92,'Raw Cost'!$A$1:$B$484,2,FALSE)/G92</f>
        <v>0.4375</v>
      </c>
      <c r="I92" s="34">
        <f t="shared" si="22"/>
        <v>2.734375E-2</v>
      </c>
      <c r="J92" s="35">
        <v>10</v>
      </c>
      <c r="K92" s="35">
        <v>0.25</v>
      </c>
      <c r="L92" s="36">
        <f>VLOOKUP($F92,'Packaging Cost'!$A$1:$F$43,6,FALSE)</f>
        <v>0.9</v>
      </c>
      <c r="M92" s="37">
        <f>IF($E92="Snakpak",(($J92*H92)+($K92*'Labor Cost'!$A$2)+L92)+2.25,($J92*H92)+($K92*'Labor Cost'!$A$2)+L92+1)</f>
        <v>12.15</v>
      </c>
      <c r="N92" s="38">
        <f t="shared" si="23"/>
        <v>15.1875</v>
      </c>
      <c r="O92" s="38">
        <f t="shared" si="24"/>
        <v>15.795000000000002</v>
      </c>
      <c r="P92" s="38">
        <f t="shared" si="25"/>
        <v>16.4025</v>
      </c>
      <c r="Q92" s="38">
        <f t="shared" si="26"/>
        <v>17.009999999999998</v>
      </c>
      <c r="R92" s="38">
        <f t="shared" si="27"/>
        <v>17.6175</v>
      </c>
      <c r="S92" s="38">
        <f t="shared" si="28"/>
        <v>15.25</v>
      </c>
      <c r="T92" s="38">
        <f t="shared" si="29"/>
        <v>15.75</v>
      </c>
      <c r="U92" s="38">
        <f t="shared" si="30"/>
        <v>16.5</v>
      </c>
      <c r="V92" s="38">
        <f t="shared" si="31"/>
        <v>17</v>
      </c>
      <c r="W92" s="38">
        <f t="shared" si="32"/>
        <v>17.5</v>
      </c>
    </row>
    <row r="93" spans="1:23" ht="21" customHeight="1" x14ac:dyDescent="0.2">
      <c r="A93" s="19" t="s">
        <v>104</v>
      </c>
      <c r="B93" s="19" t="s">
        <v>347</v>
      </c>
      <c r="C93" s="32" t="s">
        <v>30</v>
      </c>
      <c r="D93" s="32" t="s">
        <v>384</v>
      </c>
      <c r="E93" s="20" t="s">
        <v>388</v>
      </c>
      <c r="F93" s="20" t="s">
        <v>369</v>
      </c>
      <c r="G93" s="33">
        <v>32</v>
      </c>
      <c r="H93" s="34">
        <f>VLOOKUP($C93,'Raw Cost'!$A$1:$B$484,2,FALSE)/G93</f>
        <v>0.4375</v>
      </c>
      <c r="I93" s="34">
        <f t="shared" si="22"/>
        <v>2.734375E-2</v>
      </c>
      <c r="J93" s="35">
        <v>20</v>
      </c>
      <c r="K93" s="35">
        <v>0.25</v>
      </c>
      <c r="L93" s="36">
        <f>VLOOKUP($F93,'Packaging Cost'!$A$1:$F$43,6,FALSE)</f>
        <v>1.23</v>
      </c>
      <c r="M93" s="37">
        <f>IF($E93="Snakpak",(($J93*H93)+($K93*'Labor Cost'!$A$2)+L93)+2.25,($J93*H93)+($K93*'Labor Cost'!$A$2)+L93+1)</f>
        <v>16.855</v>
      </c>
      <c r="N93" s="38">
        <f t="shared" si="23"/>
        <v>21.068750000000001</v>
      </c>
      <c r="O93" s="38">
        <f t="shared" si="24"/>
        <v>21.9115</v>
      </c>
      <c r="P93" s="38">
        <f t="shared" si="25"/>
        <v>22.754250000000003</v>
      </c>
      <c r="Q93" s="38">
        <f t="shared" si="26"/>
        <v>23.596999999999998</v>
      </c>
      <c r="R93" s="38">
        <f t="shared" si="27"/>
        <v>24.43975</v>
      </c>
      <c r="S93" s="38">
        <f t="shared" si="28"/>
        <v>21</v>
      </c>
      <c r="T93" s="38">
        <f t="shared" si="29"/>
        <v>22</v>
      </c>
      <c r="U93" s="38">
        <f t="shared" si="30"/>
        <v>22.75</v>
      </c>
      <c r="V93" s="38">
        <f t="shared" si="31"/>
        <v>23.5</v>
      </c>
      <c r="W93" s="38">
        <f t="shared" si="32"/>
        <v>24.5</v>
      </c>
    </row>
    <row r="94" spans="1:23" ht="21" customHeight="1" x14ac:dyDescent="0.2">
      <c r="A94" s="19" t="s">
        <v>105</v>
      </c>
      <c r="B94" s="19" t="s">
        <v>349</v>
      </c>
      <c r="C94" s="32" t="s">
        <v>30</v>
      </c>
      <c r="D94" s="32" t="s">
        <v>384</v>
      </c>
      <c r="E94" s="20" t="s">
        <v>388</v>
      </c>
      <c r="F94" s="20" t="s">
        <v>369</v>
      </c>
      <c r="G94" s="33">
        <v>32</v>
      </c>
      <c r="H94" s="34">
        <f>VLOOKUP($C94,'Raw Cost'!$A$1:$B$484,2,FALSE)/G94</f>
        <v>0.4375</v>
      </c>
      <c r="I94" s="34">
        <f t="shared" si="22"/>
        <v>2.734375E-2</v>
      </c>
      <c r="J94" s="35">
        <v>20</v>
      </c>
      <c r="K94" s="35">
        <v>0.25</v>
      </c>
      <c r="L94" s="36">
        <f>VLOOKUP($F94,'Packaging Cost'!$A$1:$F$43,6,FALSE)</f>
        <v>1.23</v>
      </c>
      <c r="M94" s="37">
        <f>IF($E94="Snakpak",(($J94*H94)+($K94*'Labor Cost'!$A$2)+L94)+2.25,($J94*H94)+($K94*'Labor Cost'!$A$2)+L94+1)</f>
        <v>16.855</v>
      </c>
      <c r="N94" s="38">
        <f t="shared" si="23"/>
        <v>21.068750000000001</v>
      </c>
      <c r="O94" s="38">
        <f t="shared" si="24"/>
        <v>21.9115</v>
      </c>
      <c r="P94" s="38">
        <f t="shared" si="25"/>
        <v>22.754250000000003</v>
      </c>
      <c r="Q94" s="38">
        <f t="shared" si="26"/>
        <v>23.596999999999998</v>
      </c>
      <c r="R94" s="38">
        <f t="shared" si="27"/>
        <v>24.43975</v>
      </c>
      <c r="S94" s="38">
        <f t="shared" si="28"/>
        <v>21</v>
      </c>
      <c r="T94" s="38">
        <f t="shared" si="29"/>
        <v>22</v>
      </c>
      <c r="U94" s="38">
        <f t="shared" si="30"/>
        <v>22.75</v>
      </c>
      <c r="V94" s="38">
        <f t="shared" si="31"/>
        <v>23.5</v>
      </c>
      <c r="W94" s="38">
        <f t="shared" si="32"/>
        <v>24.5</v>
      </c>
    </row>
    <row r="95" spans="1:23" ht="21" customHeight="1" x14ac:dyDescent="0.2">
      <c r="A95" s="19" t="s">
        <v>106</v>
      </c>
      <c r="B95" s="19" t="s">
        <v>351</v>
      </c>
      <c r="C95" s="32" t="s">
        <v>30</v>
      </c>
      <c r="D95" s="32" t="s">
        <v>384</v>
      </c>
      <c r="E95" s="20" t="s">
        <v>388</v>
      </c>
      <c r="F95" s="20" t="s">
        <v>374</v>
      </c>
      <c r="G95" s="33">
        <v>32</v>
      </c>
      <c r="H95" s="34">
        <f>VLOOKUP($C95,'Raw Cost'!$A$1:$B$484,2,FALSE)/G95</f>
        <v>0.4375</v>
      </c>
      <c r="I95" s="34">
        <f t="shared" si="22"/>
        <v>2.734375E-2</v>
      </c>
      <c r="J95" s="35">
        <v>10</v>
      </c>
      <c r="K95" s="35">
        <v>0.25</v>
      </c>
      <c r="L95" s="36">
        <f>VLOOKUP($F95,'Packaging Cost'!$A$1:$F$43,6,FALSE)</f>
        <v>0.9</v>
      </c>
      <c r="M95" s="37">
        <f>IF($E95="Snakpak",(($J95*H95)+($K95*'Labor Cost'!$A$2)+L95)+2.25,($J95*H95)+($K95*'Labor Cost'!$A$2)+L95+1)</f>
        <v>12.15</v>
      </c>
      <c r="N95" s="38">
        <f t="shared" si="23"/>
        <v>15.1875</v>
      </c>
      <c r="O95" s="38">
        <f t="shared" si="24"/>
        <v>15.795000000000002</v>
      </c>
      <c r="P95" s="38">
        <f t="shared" si="25"/>
        <v>16.4025</v>
      </c>
      <c r="Q95" s="38">
        <f t="shared" si="26"/>
        <v>17.009999999999998</v>
      </c>
      <c r="R95" s="38">
        <f t="shared" si="27"/>
        <v>17.6175</v>
      </c>
      <c r="S95" s="38">
        <f t="shared" si="28"/>
        <v>15.25</v>
      </c>
      <c r="T95" s="38">
        <f t="shared" si="29"/>
        <v>15.75</v>
      </c>
      <c r="U95" s="38">
        <f t="shared" si="30"/>
        <v>16.5</v>
      </c>
      <c r="V95" s="38">
        <f t="shared" si="31"/>
        <v>17</v>
      </c>
      <c r="W95" s="38">
        <f t="shared" si="32"/>
        <v>17.5</v>
      </c>
    </row>
    <row r="96" spans="1:23" ht="21" customHeight="1" x14ac:dyDescent="0.2">
      <c r="A96" s="19" t="s">
        <v>168</v>
      </c>
      <c r="B96" s="19" t="s">
        <v>350</v>
      </c>
      <c r="C96" s="32" t="s">
        <v>30</v>
      </c>
      <c r="D96" s="32" t="s">
        <v>384</v>
      </c>
      <c r="E96" s="20" t="s">
        <v>388</v>
      </c>
      <c r="F96" s="20" t="s">
        <v>369</v>
      </c>
      <c r="G96" s="33">
        <v>32</v>
      </c>
      <c r="H96" s="34">
        <f>VLOOKUP($C96,'Raw Cost'!$A$1:$B$484,2,FALSE)/G96</f>
        <v>0.4375</v>
      </c>
      <c r="I96" s="34">
        <f t="shared" si="22"/>
        <v>2.734375E-2</v>
      </c>
      <c r="J96" s="35">
        <v>20</v>
      </c>
      <c r="K96" s="35">
        <v>0.25</v>
      </c>
      <c r="L96" s="36">
        <f>VLOOKUP($F96,'Packaging Cost'!$A$1:$F$43,6,FALSE)</f>
        <v>1.23</v>
      </c>
      <c r="M96" s="37">
        <f>IF($E96="Snakpak",(($J96*H96)+($K96*'Labor Cost'!$A$2)+L96)+2.25,($J96*H96)+($K96*'Labor Cost'!$A$2)+L96+1)</f>
        <v>16.855</v>
      </c>
      <c r="N96" s="38">
        <f t="shared" si="23"/>
        <v>21.068750000000001</v>
      </c>
      <c r="O96" s="38">
        <f t="shared" si="24"/>
        <v>21.9115</v>
      </c>
      <c r="P96" s="38">
        <f t="shared" si="25"/>
        <v>22.754250000000003</v>
      </c>
      <c r="Q96" s="38">
        <f t="shared" si="26"/>
        <v>23.596999999999998</v>
      </c>
      <c r="R96" s="38">
        <f t="shared" si="27"/>
        <v>24.43975</v>
      </c>
      <c r="S96" s="38">
        <f t="shared" si="28"/>
        <v>21</v>
      </c>
      <c r="T96" s="38">
        <f t="shared" si="29"/>
        <v>22</v>
      </c>
      <c r="U96" s="38">
        <f t="shared" si="30"/>
        <v>22.75</v>
      </c>
      <c r="V96" s="38">
        <f t="shared" si="31"/>
        <v>23.5</v>
      </c>
      <c r="W96" s="38">
        <f t="shared" si="32"/>
        <v>24.5</v>
      </c>
    </row>
    <row r="97" spans="1:23" ht="21" customHeight="1" x14ac:dyDescent="0.2">
      <c r="A97" s="19" t="s">
        <v>429</v>
      </c>
      <c r="B97" s="19" t="s">
        <v>430</v>
      </c>
      <c r="C97" s="32" t="s">
        <v>30</v>
      </c>
      <c r="D97" s="32" t="s">
        <v>384</v>
      </c>
      <c r="E97" s="20" t="s">
        <v>388</v>
      </c>
      <c r="F97" s="20" t="s">
        <v>400</v>
      </c>
      <c r="G97" s="33">
        <v>32</v>
      </c>
      <c r="H97" s="34">
        <f>VLOOKUP($C97,'Raw Cost'!$A$1:$B$484,2,FALSE)/G97</f>
        <v>0.4375</v>
      </c>
      <c r="I97" s="34">
        <f t="shared" si="22"/>
        <v>2.734375E-2</v>
      </c>
      <c r="J97" s="35">
        <v>5</v>
      </c>
      <c r="K97" s="35">
        <v>0.12</v>
      </c>
      <c r="L97" s="36">
        <f>VLOOKUP($F97,'Packaging Cost'!$A$1:$F$43,6,FALSE)</f>
        <v>1.4100000000000001</v>
      </c>
      <c r="M97" s="37">
        <f>IF($E97="Snakpak",(($J97*H97)+($K97*'Labor Cost'!$A$2)+L97)+2.25,($J97*H97)+($K97*'Labor Cost'!$A$2)+L97+1)</f>
        <v>7.4175000000000004</v>
      </c>
      <c r="N97" s="38">
        <f t="shared" si="23"/>
        <v>9.2718750000000014</v>
      </c>
      <c r="O97" s="38">
        <f t="shared" si="24"/>
        <v>9.6427500000000013</v>
      </c>
      <c r="P97" s="38">
        <f t="shared" si="25"/>
        <v>10.013625000000001</v>
      </c>
      <c r="Q97" s="38">
        <f t="shared" si="26"/>
        <v>10.384499999999999</v>
      </c>
      <c r="R97" s="38">
        <f t="shared" si="27"/>
        <v>10.755375000000001</v>
      </c>
      <c r="S97" s="38">
        <f t="shared" si="28"/>
        <v>9.25</v>
      </c>
      <c r="T97" s="38">
        <f t="shared" si="29"/>
        <v>9.75</v>
      </c>
      <c r="U97" s="38">
        <f t="shared" si="30"/>
        <v>10</v>
      </c>
      <c r="V97" s="38">
        <f t="shared" si="31"/>
        <v>10.5</v>
      </c>
      <c r="W97" s="38">
        <f t="shared" si="32"/>
        <v>10.75</v>
      </c>
    </row>
    <row r="98" spans="1:23" ht="21" customHeight="1" x14ac:dyDescent="0.2">
      <c r="A98" s="19" t="s">
        <v>411</v>
      </c>
      <c r="B98" s="19" t="s">
        <v>412</v>
      </c>
      <c r="C98" s="20" t="s">
        <v>30</v>
      </c>
      <c r="D98" s="20" t="s">
        <v>384</v>
      </c>
      <c r="E98" s="20" t="s">
        <v>388</v>
      </c>
      <c r="F98" s="20" t="s">
        <v>410</v>
      </c>
      <c r="G98" s="33">
        <v>50</v>
      </c>
      <c r="H98" s="34">
        <f>VLOOKUP($C98,'Raw Cost'!$A$1:$B$484,2,FALSE)/G98</f>
        <v>0.28000000000000003</v>
      </c>
      <c r="I98" s="34">
        <f t="shared" ref="I98:I129" si="33">H98/16</f>
        <v>1.7500000000000002E-2</v>
      </c>
      <c r="J98" s="35">
        <v>5</v>
      </c>
      <c r="K98" s="35">
        <v>0.1</v>
      </c>
      <c r="L98" s="36">
        <f>VLOOKUP($F98,'Packaging Cost'!$A$1:$F$43,6,FALSE)</f>
        <v>0.2</v>
      </c>
      <c r="M98" s="37">
        <f>IF($E98="Snakpak",(($J98*H98)+($K98*'Labor Cost'!$A$2)+L98)+2.25,($J98*H98)+($K98*'Labor Cost'!$A$2)+L98)</f>
        <v>3.95</v>
      </c>
      <c r="N98" s="38">
        <f t="shared" ref="N98:N129" si="34">IF($D98="No",$M98*1.25,($M98*1.25)+15)</f>
        <v>4.9375</v>
      </c>
      <c r="O98" s="38">
        <f t="shared" ref="O98:O129" si="35">IF($D98="No",$M98*1.3,($M98*1.3)+15)</f>
        <v>5.1350000000000007</v>
      </c>
      <c r="P98" s="38">
        <f t="shared" ref="P98:P129" si="36">IF($D98="No",$M98*1.35,($M98*1.35)+15)</f>
        <v>5.3325000000000005</v>
      </c>
      <c r="Q98" s="38">
        <f t="shared" ref="Q98:Q129" si="37">IF($D98="No",$M98*1.4,($M98*1.4)+15)</f>
        <v>5.53</v>
      </c>
      <c r="R98" s="38">
        <f t="shared" ref="R98:R129" si="38">IF($D98="No",$M98*1.45,($M98*1.45)+15)</f>
        <v>5.7275</v>
      </c>
      <c r="S98" s="38">
        <f t="shared" ref="S98:S129" si="39">MROUND(N98,0.25)</f>
        <v>5</v>
      </c>
      <c r="T98" s="38">
        <f t="shared" ref="T98:T129" si="40">MROUND(O98,0.25)</f>
        <v>5.25</v>
      </c>
      <c r="U98" s="38">
        <f t="shared" ref="U98:U129" si="41">MROUND(P98,0.25)</f>
        <v>5.25</v>
      </c>
      <c r="V98" s="38">
        <f t="shared" ref="V98:V129" si="42">MROUND(Q98,0.25)</f>
        <v>5.5</v>
      </c>
      <c r="W98" s="38">
        <f t="shared" ref="W98:W129" si="43">MROUND(R98,0.25)</f>
        <v>5.75</v>
      </c>
    </row>
    <row r="99" spans="1:23" ht="21" customHeight="1" x14ac:dyDescent="0.2">
      <c r="A99" s="19" t="s">
        <v>1054</v>
      </c>
      <c r="B99" s="19" t="s">
        <v>266</v>
      </c>
      <c r="C99" s="20" t="s">
        <v>31</v>
      </c>
      <c r="D99" s="20" t="s">
        <v>384</v>
      </c>
      <c r="E99" s="20" t="s">
        <v>388</v>
      </c>
      <c r="F99" s="20" t="s">
        <v>375</v>
      </c>
      <c r="G99" s="33">
        <v>15</v>
      </c>
      <c r="H99" s="34">
        <f>VLOOKUP($C99,'Raw Cost'!$A$1:$B$484,2,FALSE)/G99</f>
        <v>2.6666666666666665</v>
      </c>
      <c r="I99" s="34">
        <f t="shared" si="33"/>
        <v>0.16666666666666666</v>
      </c>
      <c r="J99" s="35">
        <v>5</v>
      </c>
      <c r="K99" s="35">
        <v>0.25</v>
      </c>
      <c r="L99" s="36">
        <f>VLOOKUP($F99,'Packaging Cost'!$A$1:$F$43,6,FALSE)</f>
        <v>0.59</v>
      </c>
      <c r="M99" s="37">
        <f>IF($E99="Snakpak",(($J99*H99)+($K99*'Labor Cost'!$A$2)+L99)+2.25,($J99*H99)+($K99*'Labor Cost'!$A$2)+L99+1)</f>
        <v>20.798333333333332</v>
      </c>
      <c r="N99" s="38">
        <f t="shared" si="34"/>
        <v>25.997916666666665</v>
      </c>
      <c r="O99" s="38">
        <f t="shared" si="35"/>
        <v>27.037833333333332</v>
      </c>
      <c r="P99" s="38">
        <f t="shared" si="36"/>
        <v>28.077750000000002</v>
      </c>
      <c r="Q99" s="38">
        <f t="shared" si="37"/>
        <v>29.117666666666661</v>
      </c>
      <c r="R99" s="38">
        <f t="shared" si="38"/>
        <v>30.157583333333331</v>
      </c>
      <c r="S99" s="38">
        <f t="shared" si="39"/>
        <v>26</v>
      </c>
      <c r="T99" s="38">
        <f t="shared" si="40"/>
        <v>27</v>
      </c>
      <c r="U99" s="38">
        <f t="shared" si="41"/>
        <v>28</v>
      </c>
      <c r="V99" s="38">
        <f t="shared" si="42"/>
        <v>29</v>
      </c>
      <c r="W99" s="38">
        <f t="shared" si="43"/>
        <v>30.25</v>
      </c>
    </row>
    <row r="100" spans="1:23" ht="21" customHeight="1" x14ac:dyDescent="0.2">
      <c r="A100" s="19" t="s">
        <v>110</v>
      </c>
      <c r="B100" s="19" t="s">
        <v>266</v>
      </c>
      <c r="C100" s="20" t="s">
        <v>31</v>
      </c>
      <c r="D100" s="20" t="s">
        <v>384</v>
      </c>
      <c r="E100" s="20" t="s">
        <v>388</v>
      </c>
      <c r="F100" s="20" t="s">
        <v>397</v>
      </c>
      <c r="G100" s="33">
        <v>29</v>
      </c>
      <c r="H100" s="34">
        <f>VLOOKUP($C100,'Raw Cost'!$A$1:$B$484,2,FALSE)/G100</f>
        <v>1.3793103448275863</v>
      </c>
      <c r="I100" s="34">
        <f t="shared" si="33"/>
        <v>8.6206896551724144E-2</v>
      </c>
      <c r="J100" s="35">
        <v>5</v>
      </c>
      <c r="K100" s="35">
        <v>0.25</v>
      </c>
      <c r="L100" s="36">
        <f>VLOOKUP($F100,'Packaging Cost'!$A$1:$F$43,6,FALSE)</f>
        <v>3.22</v>
      </c>
      <c r="M100" s="37">
        <f>IF($E100="Snakpak",(($J100*H100)+($K100*'Labor Cost'!$A$2)+L100)+2.25,($J100*H100)+($K100*'Labor Cost'!$A$2)+L100+1)</f>
        <v>16.991551724137935</v>
      </c>
      <c r="N100" s="38">
        <f t="shared" si="34"/>
        <v>21.239439655172418</v>
      </c>
      <c r="O100" s="38">
        <f t="shared" si="35"/>
        <v>22.089017241379317</v>
      </c>
      <c r="P100" s="38">
        <f t="shared" si="36"/>
        <v>22.938594827586215</v>
      </c>
      <c r="Q100" s="38">
        <f t="shared" si="37"/>
        <v>23.788172413793106</v>
      </c>
      <c r="R100" s="38">
        <f t="shared" si="38"/>
        <v>24.637750000000004</v>
      </c>
      <c r="S100" s="38">
        <f t="shared" si="39"/>
        <v>21.25</v>
      </c>
      <c r="T100" s="38">
        <f t="shared" si="40"/>
        <v>22</v>
      </c>
      <c r="U100" s="38">
        <f t="shared" si="41"/>
        <v>23</v>
      </c>
      <c r="V100" s="38">
        <f t="shared" si="42"/>
        <v>23.75</v>
      </c>
      <c r="W100" s="38">
        <f t="shared" si="43"/>
        <v>24.75</v>
      </c>
    </row>
    <row r="101" spans="1:23" ht="21" customHeight="1" x14ac:dyDescent="0.2">
      <c r="A101" s="19" t="s">
        <v>1060</v>
      </c>
      <c r="B101" s="19" t="s">
        <v>270</v>
      </c>
      <c r="C101" s="20" t="s">
        <v>33</v>
      </c>
      <c r="D101" s="20" t="s">
        <v>384</v>
      </c>
      <c r="E101" s="20" t="s">
        <v>388</v>
      </c>
      <c r="F101" s="20" t="s">
        <v>374</v>
      </c>
      <c r="G101" s="33">
        <v>20</v>
      </c>
      <c r="H101" s="34">
        <f>VLOOKUP($C101,'Raw Cost'!$A$1:$B$484,2,FALSE)/G101</f>
        <v>1.9</v>
      </c>
      <c r="I101" s="34">
        <f t="shared" si="33"/>
        <v>0.11874999999999999</v>
      </c>
      <c r="J101" s="35">
        <v>10</v>
      </c>
      <c r="K101" s="35">
        <v>0.3</v>
      </c>
      <c r="L101" s="36">
        <f>VLOOKUP($F101,'Packaging Cost'!$A$1:$F$43,6,FALSE)</f>
        <v>0.9</v>
      </c>
      <c r="M101" s="37">
        <f>IF($E101="Snakpak",(($J101*H101)+($K101*'Labor Cost'!$A$2)+L101)+2.25,($J101*H101)+($K101*'Labor Cost'!$A$2)+L101+1)</f>
        <v>27.95</v>
      </c>
      <c r="N101" s="38">
        <f t="shared" si="34"/>
        <v>34.9375</v>
      </c>
      <c r="O101" s="38">
        <f t="shared" si="35"/>
        <v>36.335000000000001</v>
      </c>
      <c r="P101" s="38">
        <f t="shared" si="36"/>
        <v>37.732500000000002</v>
      </c>
      <c r="Q101" s="38">
        <f t="shared" si="37"/>
        <v>39.129999999999995</v>
      </c>
      <c r="R101" s="38">
        <f t="shared" si="38"/>
        <v>40.527499999999996</v>
      </c>
      <c r="S101" s="38">
        <f t="shared" si="39"/>
        <v>35</v>
      </c>
      <c r="T101" s="38">
        <f t="shared" si="40"/>
        <v>36.25</v>
      </c>
      <c r="U101" s="38">
        <f t="shared" si="41"/>
        <v>37.75</v>
      </c>
      <c r="V101" s="38">
        <f t="shared" si="42"/>
        <v>39.25</v>
      </c>
      <c r="W101" s="38">
        <f t="shared" si="43"/>
        <v>40.5</v>
      </c>
    </row>
    <row r="102" spans="1:23" ht="21" customHeight="1" x14ac:dyDescent="0.2">
      <c r="A102" s="19" t="s">
        <v>113</v>
      </c>
      <c r="B102" s="19" t="s">
        <v>269</v>
      </c>
      <c r="C102" s="20" t="s">
        <v>33</v>
      </c>
      <c r="D102" s="20" t="s">
        <v>384</v>
      </c>
      <c r="E102" s="20" t="s">
        <v>388</v>
      </c>
      <c r="F102" s="20" t="s">
        <v>374</v>
      </c>
      <c r="G102" s="33">
        <v>20</v>
      </c>
      <c r="H102" s="34">
        <f>VLOOKUP($C102,'Raw Cost'!$A$1:$B$484,2,FALSE)/G102</f>
        <v>1.9</v>
      </c>
      <c r="I102" s="34">
        <f t="shared" si="33"/>
        <v>0.11874999999999999</v>
      </c>
      <c r="J102" s="35">
        <v>10</v>
      </c>
      <c r="K102" s="35">
        <v>0.25</v>
      </c>
      <c r="L102" s="36">
        <f>VLOOKUP($F102,'Packaging Cost'!$A$1:$F$43,6,FALSE)</f>
        <v>0.9</v>
      </c>
      <c r="M102" s="37">
        <f>IF($E102="Snakpak",(($J102*H102)+($K102*'Labor Cost'!$A$2)+L102)+2.25,($J102*H102)+($K102*'Labor Cost'!$A$2)+L102+1)</f>
        <v>26.774999999999999</v>
      </c>
      <c r="N102" s="38">
        <f t="shared" si="34"/>
        <v>33.46875</v>
      </c>
      <c r="O102" s="38">
        <f t="shared" si="35"/>
        <v>34.807499999999997</v>
      </c>
      <c r="P102" s="38">
        <f t="shared" si="36"/>
        <v>36.146250000000002</v>
      </c>
      <c r="Q102" s="38">
        <f t="shared" si="37"/>
        <v>37.484999999999992</v>
      </c>
      <c r="R102" s="38">
        <f t="shared" si="38"/>
        <v>38.823749999999997</v>
      </c>
      <c r="S102" s="38">
        <f t="shared" si="39"/>
        <v>33.5</v>
      </c>
      <c r="T102" s="38">
        <f t="shared" si="40"/>
        <v>34.75</v>
      </c>
      <c r="U102" s="38">
        <f t="shared" si="41"/>
        <v>36.25</v>
      </c>
      <c r="V102" s="38">
        <f t="shared" si="42"/>
        <v>37.5</v>
      </c>
      <c r="W102" s="38">
        <f t="shared" si="43"/>
        <v>38.75</v>
      </c>
    </row>
    <row r="103" spans="1:23" ht="21" customHeight="1" x14ac:dyDescent="0.2">
      <c r="A103" s="19" t="s">
        <v>83</v>
      </c>
      <c r="B103" s="19" t="s">
        <v>235</v>
      </c>
      <c r="C103" s="20" t="s">
        <v>38</v>
      </c>
      <c r="D103" s="20" t="s">
        <v>384</v>
      </c>
      <c r="E103" s="20" t="s">
        <v>388</v>
      </c>
      <c r="F103" s="20" t="s">
        <v>375</v>
      </c>
      <c r="G103" s="33">
        <v>15</v>
      </c>
      <c r="H103" s="34">
        <f>VLOOKUP($C103,'Raw Cost'!$A$1:$B$484,2,FALSE)/G103</f>
        <v>2.6</v>
      </c>
      <c r="I103" s="34">
        <f t="shared" si="33"/>
        <v>0.16250000000000001</v>
      </c>
      <c r="J103" s="35">
        <v>5</v>
      </c>
      <c r="K103" s="35">
        <v>0.25</v>
      </c>
      <c r="L103" s="36">
        <f>VLOOKUP($F103,'Packaging Cost'!$A$1:$F$43,6,FALSE)</f>
        <v>0.59</v>
      </c>
      <c r="M103" s="37">
        <f>IF($E103="Snakpak",(($J103*H103)+($K103*'Labor Cost'!$A$2)+L103)+2.25,($J103*H103)+($K103*'Labor Cost'!$A$2)+L103+1)</f>
        <v>20.465</v>
      </c>
      <c r="N103" s="38">
        <f t="shared" si="34"/>
        <v>25.581250000000001</v>
      </c>
      <c r="O103" s="38">
        <f t="shared" si="35"/>
        <v>26.604500000000002</v>
      </c>
      <c r="P103" s="38">
        <f t="shared" si="36"/>
        <v>27.627750000000002</v>
      </c>
      <c r="Q103" s="38">
        <f t="shared" si="37"/>
        <v>28.650999999999996</v>
      </c>
      <c r="R103" s="38">
        <f t="shared" si="38"/>
        <v>29.674249999999997</v>
      </c>
      <c r="S103" s="38">
        <f t="shared" si="39"/>
        <v>25.5</v>
      </c>
      <c r="T103" s="38">
        <f t="shared" si="40"/>
        <v>26.5</v>
      </c>
      <c r="U103" s="38">
        <f t="shared" si="41"/>
        <v>27.75</v>
      </c>
      <c r="V103" s="38">
        <f t="shared" si="42"/>
        <v>28.75</v>
      </c>
      <c r="W103" s="38">
        <f t="shared" si="43"/>
        <v>29.75</v>
      </c>
    </row>
    <row r="104" spans="1:23" ht="21" customHeight="1" x14ac:dyDescent="0.2">
      <c r="A104" s="19" t="s">
        <v>78</v>
      </c>
      <c r="B104" s="19" t="s">
        <v>229</v>
      </c>
      <c r="C104" s="32" t="s">
        <v>36</v>
      </c>
      <c r="D104" s="32" t="s">
        <v>384</v>
      </c>
      <c r="E104" s="20" t="s">
        <v>388</v>
      </c>
      <c r="F104" s="20" t="s">
        <v>399</v>
      </c>
      <c r="G104" s="33">
        <v>17</v>
      </c>
      <c r="H104" s="34">
        <f>VLOOKUP($C104,'Raw Cost'!$A$1:$B$484,2,FALSE)/G104</f>
        <v>2.7058823529411766</v>
      </c>
      <c r="I104" s="34">
        <f t="shared" si="33"/>
        <v>0.16911764705882354</v>
      </c>
      <c r="J104" s="35">
        <v>5</v>
      </c>
      <c r="K104" s="35">
        <v>0.25</v>
      </c>
      <c r="L104" s="36">
        <f>VLOOKUP($F104,'Packaging Cost'!$A$1:$F$43,6,FALSE)</f>
        <v>1.7600000000000002</v>
      </c>
      <c r="M104" s="37">
        <f>IF($E104="Snakpak",(($J104*H104)+($K104*'Labor Cost'!$A$2)+L104)+2.25,($J104*H104)+($K104*'Labor Cost'!$A$2)+L104+1)</f>
        <v>22.164411764705886</v>
      </c>
      <c r="N104" s="38">
        <f t="shared" si="34"/>
        <v>27.705514705882358</v>
      </c>
      <c r="O104" s="38">
        <f t="shared" si="35"/>
        <v>28.813735294117652</v>
      </c>
      <c r="P104" s="38">
        <f t="shared" si="36"/>
        <v>29.921955882352947</v>
      </c>
      <c r="Q104" s="38">
        <f t="shared" si="37"/>
        <v>31.030176470588238</v>
      </c>
      <c r="R104" s="38">
        <f t="shared" si="38"/>
        <v>32.138397058823536</v>
      </c>
      <c r="S104" s="38">
        <f t="shared" si="39"/>
        <v>27.75</v>
      </c>
      <c r="T104" s="38">
        <f t="shared" si="40"/>
        <v>28.75</v>
      </c>
      <c r="U104" s="38">
        <f t="shared" si="41"/>
        <v>30</v>
      </c>
      <c r="V104" s="38">
        <f t="shared" si="42"/>
        <v>31</v>
      </c>
      <c r="W104" s="38">
        <f t="shared" si="43"/>
        <v>32.25</v>
      </c>
    </row>
    <row r="105" spans="1:23" ht="21" customHeight="1" x14ac:dyDescent="0.2">
      <c r="A105" s="19" t="s">
        <v>87</v>
      </c>
      <c r="B105" s="19" t="s">
        <v>252</v>
      </c>
      <c r="C105" s="32" t="s">
        <v>36</v>
      </c>
      <c r="D105" s="32" t="s">
        <v>384</v>
      </c>
      <c r="E105" s="20" t="s">
        <v>388</v>
      </c>
      <c r="F105" s="20" t="s">
        <v>397</v>
      </c>
      <c r="G105" s="33">
        <v>17</v>
      </c>
      <c r="H105" s="34">
        <f>VLOOKUP($C105,'Raw Cost'!$A$1:$B$484,2,FALSE)/G105</f>
        <v>2.7058823529411766</v>
      </c>
      <c r="I105" s="34">
        <f t="shared" si="33"/>
        <v>0.16911764705882354</v>
      </c>
      <c r="J105" s="35">
        <v>10</v>
      </c>
      <c r="K105" s="35">
        <v>0.27</v>
      </c>
      <c r="L105" s="36">
        <f>VLOOKUP($F105,'Packaging Cost'!$A$1:$F$43,6,FALSE)</f>
        <v>3.22</v>
      </c>
      <c r="M105" s="37">
        <f>IF($E105="Snakpak",(($J105*H105)+($K105*'Labor Cost'!$A$2)+L105)+2.25,($J105*H105)+($K105*'Labor Cost'!$A$2)+L105+1)</f>
        <v>37.623823529411766</v>
      </c>
      <c r="N105" s="38">
        <f t="shared" si="34"/>
        <v>47.029779411764707</v>
      </c>
      <c r="O105" s="38">
        <f t="shared" si="35"/>
        <v>48.910970588235294</v>
      </c>
      <c r="P105" s="38">
        <f t="shared" si="36"/>
        <v>50.792161764705888</v>
      </c>
      <c r="Q105" s="38">
        <f t="shared" si="37"/>
        <v>52.673352941176468</v>
      </c>
      <c r="R105" s="38">
        <f t="shared" si="38"/>
        <v>54.554544117647062</v>
      </c>
      <c r="S105" s="38">
        <f t="shared" si="39"/>
        <v>47</v>
      </c>
      <c r="T105" s="38">
        <f t="shared" si="40"/>
        <v>49</v>
      </c>
      <c r="U105" s="38">
        <f t="shared" si="41"/>
        <v>50.75</v>
      </c>
      <c r="V105" s="38">
        <f t="shared" si="42"/>
        <v>52.75</v>
      </c>
      <c r="W105" s="38">
        <f t="shared" si="43"/>
        <v>54.5</v>
      </c>
    </row>
    <row r="106" spans="1:23" ht="21" customHeight="1" x14ac:dyDescent="0.2">
      <c r="A106" s="19" t="s">
        <v>415</v>
      </c>
      <c r="B106" s="19" t="s">
        <v>416</v>
      </c>
      <c r="C106" s="32" t="s">
        <v>36</v>
      </c>
      <c r="D106" s="32" t="s">
        <v>384</v>
      </c>
      <c r="E106" s="20" t="s">
        <v>388</v>
      </c>
      <c r="F106" s="20" t="s">
        <v>410</v>
      </c>
      <c r="G106" s="33">
        <v>17</v>
      </c>
      <c r="H106" s="34">
        <f>VLOOKUP($C106,'Raw Cost'!$A$1:$B$484,2,FALSE)/G106</f>
        <v>2.7058823529411766</v>
      </c>
      <c r="I106" s="34">
        <f t="shared" si="33"/>
        <v>0.16911764705882354</v>
      </c>
      <c r="J106" s="35">
        <v>5</v>
      </c>
      <c r="K106" s="35">
        <v>0.1</v>
      </c>
      <c r="L106" s="36">
        <f>VLOOKUP($F106,'Packaging Cost'!$A$1:$F$43,6,FALSE)</f>
        <v>0.2</v>
      </c>
      <c r="M106" s="37">
        <f>IF($E106="Snakpak",(($J106*H106)+($K106*'Labor Cost'!$A$2)+L106)+2.25,($J106*H106)+($K106*'Labor Cost'!$A$2)+L106)</f>
        <v>16.079411764705885</v>
      </c>
      <c r="N106" s="38">
        <f t="shared" si="34"/>
        <v>20.099264705882355</v>
      </c>
      <c r="O106" s="38">
        <f t="shared" si="35"/>
        <v>20.90323529411765</v>
      </c>
      <c r="P106" s="38">
        <f t="shared" si="36"/>
        <v>21.707205882352945</v>
      </c>
      <c r="Q106" s="38">
        <f t="shared" si="37"/>
        <v>22.511176470588236</v>
      </c>
      <c r="R106" s="38">
        <f t="shared" si="38"/>
        <v>23.315147058823531</v>
      </c>
      <c r="S106" s="38">
        <f t="shared" si="39"/>
        <v>20</v>
      </c>
      <c r="T106" s="38">
        <f t="shared" si="40"/>
        <v>21</v>
      </c>
      <c r="U106" s="38">
        <f t="shared" si="41"/>
        <v>21.75</v>
      </c>
      <c r="V106" s="38">
        <f t="shared" si="42"/>
        <v>22.5</v>
      </c>
      <c r="W106" s="38">
        <f t="shared" si="43"/>
        <v>23.25</v>
      </c>
    </row>
    <row r="107" spans="1:23" ht="21" customHeight="1" x14ac:dyDescent="0.2">
      <c r="A107" s="19" t="s">
        <v>76</v>
      </c>
      <c r="B107" s="19" t="s">
        <v>227</v>
      </c>
      <c r="C107" s="32" t="s">
        <v>36</v>
      </c>
      <c r="D107" s="32" t="s">
        <v>384</v>
      </c>
      <c r="E107" s="20" t="s">
        <v>388</v>
      </c>
      <c r="F107" s="20" t="s">
        <v>398</v>
      </c>
      <c r="G107" s="33">
        <v>17</v>
      </c>
      <c r="H107" s="34">
        <f>VLOOKUP($C107,'Raw Cost'!$A$1:$B$484,2,FALSE)/G107</f>
        <v>2.7058823529411766</v>
      </c>
      <c r="I107" s="34">
        <f t="shared" si="33"/>
        <v>0.16911764705882354</v>
      </c>
      <c r="J107" s="35">
        <v>10</v>
      </c>
      <c r="K107" s="35">
        <v>0.25</v>
      </c>
      <c r="L107" s="36">
        <f>VLOOKUP($F107,'Packaging Cost'!$A$1:$F$43,6,FALSE)</f>
        <v>2.52</v>
      </c>
      <c r="M107" s="37">
        <f>IF($E107="Snakpak",(($J107*H107)+($K107*'Labor Cost'!$A$2)+L107)+2.25,($J107*H107)+($K107*'Labor Cost'!$A$2)+L107+1)</f>
        <v>36.453823529411771</v>
      </c>
      <c r="N107" s="38">
        <f t="shared" si="34"/>
        <v>45.567279411764716</v>
      </c>
      <c r="O107" s="38">
        <f t="shared" si="35"/>
        <v>47.389970588235308</v>
      </c>
      <c r="P107" s="38">
        <f t="shared" si="36"/>
        <v>49.212661764705892</v>
      </c>
      <c r="Q107" s="38">
        <f t="shared" si="37"/>
        <v>51.035352941176477</v>
      </c>
      <c r="R107" s="38">
        <f t="shared" si="38"/>
        <v>52.858044117647069</v>
      </c>
      <c r="S107" s="38">
        <f t="shared" si="39"/>
        <v>45.5</v>
      </c>
      <c r="T107" s="38">
        <f t="shared" si="40"/>
        <v>47.5</v>
      </c>
      <c r="U107" s="38">
        <f t="shared" si="41"/>
        <v>49.25</v>
      </c>
      <c r="V107" s="38">
        <f t="shared" si="42"/>
        <v>51</v>
      </c>
      <c r="W107" s="38">
        <f t="shared" si="43"/>
        <v>52.75</v>
      </c>
    </row>
    <row r="108" spans="1:23" ht="21" customHeight="1" x14ac:dyDescent="0.2">
      <c r="A108" s="19" t="s">
        <v>88</v>
      </c>
      <c r="B108" s="19" t="s">
        <v>253</v>
      </c>
      <c r="C108" s="32" t="s">
        <v>36</v>
      </c>
      <c r="D108" s="32" t="s">
        <v>384</v>
      </c>
      <c r="E108" s="20" t="s">
        <v>388</v>
      </c>
      <c r="F108" s="20" t="s">
        <v>369</v>
      </c>
      <c r="G108" s="33">
        <v>17</v>
      </c>
      <c r="H108" s="34">
        <f>VLOOKUP($C108,'Raw Cost'!$A$1:$B$484,2,FALSE)/G108</f>
        <v>2.7058823529411766</v>
      </c>
      <c r="I108" s="34">
        <f t="shared" si="33"/>
        <v>0.16911764705882354</v>
      </c>
      <c r="J108" s="35">
        <v>20</v>
      </c>
      <c r="K108" s="35">
        <v>0.25</v>
      </c>
      <c r="L108" s="36">
        <f>VLOOKUP($F108,'Packaging Cost'!$A$1:$F$43,6,FALSE)</f>
        <v>1.23</v>
      </c>
      <c r="M108" s="37">
        <f>IF($E108="Snakpak",(($J108*H108)+($K108*'Labor Cost'!$A$2)+L108)+2.25,($J108*H108)+($K108*'Labor Cost'!$A$2)+L108+1)</f>
        <v>62.222647058823533</v>
      </c>
      <c r="N108" s="38">
        <f t="shared" si="34"/>
        <v>77.778308823529414</v>
      </c>
      <c r="O108" s="38">
        <f t="shared" si="35"/>
        <v>80.889441176470598</v>
      </c>
      <c r="P108" s="38">
        <f t="shared" si="36"/>
        <v>84.000573529411781</v>
      </c>
      <c r="Q108" s="38">
        <f t="shared" si="37"/>
        <v>87.111705882352936</v>
      </c>
      <c r="R108" s="38">
        <f t="shared" si="38"/>
        <v>90.22283823529412</v>
      </c>
      <c r="S108" s="38">
        <f t="shared" si="39"/>
        <v>77.75</v>
      </c>
      <c r="T108" s="38">
        <f t="shared" si="40"/>
        <v>81</v>
      </c>
      <c r="U108" s="38">
        <f t="shared" si="41"/>
        <v>84</v>
      </c>
      <c r="V108" s="38">
        <f t="shared" si="42"/>
        <v>87</v>
      </c>
      <c r="W108" s="38">
        <f t="shared" si="43"/>
        <v>90.25</v>
      </c>
    </row>
    <row r="109" spans="1:23" ht="21" customHeight="1" x14ac:dyDescent="0.2">
      <c r="A109" s="19" t="s">
        <v>89</v>
      </c>
      <c r="B109" s="19" t="s">
        <v>254</v>
      </c>
      <c r="C109" s="32" t="s">
        <v>36</v>
      </c>
      <c r="D109" s="32" t="s">
        <v>384</v>
      </c>
      <c r="E109" s="20" t="s">
        <v>388</v>
      </c>
      <c r="F109" s="20" t="s">
        <v>400</v>
      </c>
      <c r="G109" s="33">
        <v>17</v>
      </c>
      <c r="H109" s="34">
        <f>VLOOKUP($C109,'Raw Cost'!$A$1:$B$484,2,FALSE)/G109</f>
        <v>2.7058823529411766</v>
      </c>
      <c r="I109" s="34">
        <f t="shared" si="33"/>
        <v>0.16911764705882354</v>
      </c>
      <c r="J109" s="35">
        <v>5</v>
      </c>
      <c r="K109" s="35">
        <v>0.25</v>
      </c>
      <c r="L109" s="36">
        <f>VLOOKUP($F109,'Packaging Cost'!$A$1:$F$43,6,FALSE)</f>
        <v>1.4100000000000001</v>
      </c>
      <c r="M109" s="37">
        <f>IF($E109="Snakpak",(($J109*H109)+($K109*'Labor Cost'!$A$2)+L109)+2.25,($J109*H109)+($K109*'Labor Cost'!$A$2)+L109+1)</f>
        <v>21.814411764705884</v>
      </c>
      <c r="N109" s="38">
        <f t="shared" si="34"/>
        <v>27.268014705882354</v>
      </c>
      <c r="O109" s="38">
        <f t="shared" si="35"/>
        <v>28.35873529411765</v>
      </c>
      <c r="P109" s="38">
        <f t="shared" si="36"/>
        <v>29.449455882352947</v>
      </c>
      <c r="Q109" s="38">
        <f t="shared" si="37"/>
        <v>30.540176470588236</v>
      </c>
      <c r="R109" s="38">
        <f t="shared" si="38"/>
        <v>31.630897058823532</v>
      </c>
      <c r="S109" s="38">
        <f t="shared" si="39"/>
        <v>27.25</v>
      </c>
      <c r="T109" s="38">
        <f t="shared" si="40"/>
        <v>28.25</v>
      </c>
      <c r="U109" s="38">
        <f t="shared" si="41"/>
        <v>29.5</v>
      </c>
      <c r="V109" s="38">
        <f t="shared" si="42"/>
        <v>30.5</v>
      </c>
      <c r="W109" s="38">
        <f t="shared" si="43"/>
        <v>31.75</v>
      </c>
    </row>
    <row r="110" spans="1:23" ht="21" customHeight="1" x14ac:dyDescent="0.2">
      <c r="A110" s="19" t="s">
        <v>1167</v>
      </c>
      <c r="B110" s="19" t="s">
        <v>417</v>
      </c>
      <c r="C110" s="32" t="s">
        <v>1166</v>
      </c>
      <c r="D110" s="32" t="s">
        <v>384</v>
      </c>
      <c r="E110" s="20" t="s">
        <v>388</v>
      </c>
      <c r="F110" s="20" t="s">
        <v>410</v>
      </c>
      <c r="G110" s="33">
        <v>15</v>
      </c>
      <c r="H110" s="34">
        <f>VLOOKUP($C110,'Raw Cost'!$A$1:$B$484,2,FALSE)/G110</f>
        <v>2.4666666666666668</v>
      </c>
      <c r="I110" s="34">
        <f t="shared" si="33"/>
        <v>0.15416666666666667</v>
      </c>
      <c r="J110" s="35">
        <v>5</v>
      </c>
      <c r="K110" s="35">
        <v>0.1</v>
      </c>
      <c r="L110" s="36">
        <f>VLOOKUP($F110,'Packaging Cost'!$A$1:$F$43,6,FALSE)</f>
        <v>0.2</v>
      </c>
      <c r="M110" s="37">
        <f>IF($E110="Snakpak",(($J110*H110)+($K110*'Labor Cost'!$A$2)+L110)+2.25,($J110*H110)+($K110*'Labor Cost'!$A$2)+L110)</f>
        <v>14.883333333333333</v>
      </c>
      <c r="N110" s="38">
        <f t="shared" si="34"/>
        <v>18.604166666666664</v>
      </c>
      <c r="O110" s="38">
        <f t="shared" si="35"/>
        <v>19.348333333333333</v>
      </c>
      <c r="P110" s="38">
        <f t="shared" si="36"/>
        <v>20.092500000000001</v>
      </c>
      <c r="Q110" s="38">
        <f t="shared" si="37"/>
        <v>20.836666666666666</v>
      </c>
      <c r="R110" s="38">
        <f t="shared" si="38"/>
        <v>21.580833333333331</v>
      </c>
      <c r="S110" s="38">
        <f t="shared" si="39"/>
        <v>18.5</v>
      </c>
      <c r="T110" s="38">
        <f t="shared" si="40"/>
        <v>19.25</v>
      </c>
      <c r="U110" s="38">
        <f t="shared" si="41"/>
        <v>20</v>
      </c>
      <c r="V110" s="38">
        <f t="shared" si="42"/>
        <v>20.75</v>
      </c>
      <c r="W110" s="38">
        <f t="shared" si="43"/>
        <v>21.5</v>
      </c>
    </row>
    <row r="111" spans="1:23" ht="21" customHeight="1" x14ac:dyDescent="0.2">
      <c r="A111" s="19" t="s">
        <v>91</v>
      </c>
      <c r="B111" s="19" t="s">
        <v>256</v>
      </c>
      <c r="C111" s="32" t="s">
        <v>37</v>
      </c>
      <c r="D111" s="32" t="s">
        <v>384</v>
      </c>
      <c r="E111" s="20" t="s">
        <v>388</v>
      </c>
      <c r="F111" s="20" t="s">
        <v>397</v>
      </c>
      <c r="G111" s="33">
        <v>15</v>
      </c>
      <c r="H111" s="34">
        <f>VLOOKUP($C111,'Raw Cost'!$A$1:$B$484,2,FALSE)/G111</f>
        <v>2.8</v>
      </c>
      <c r="I111" s="34">
        <f t="shared" si="33"/>
        <v>0.17499999999999999</v>
      </c>
      <c r="J111" s="35">
        <v>10</v>
      </c>
      <c r="K111" s="35">
        <v>0.25</v>
      </c>
      <c r="L111" s="36">
        <f>VLOOKUP($F111,'Packaging Cost'!$A$1:$F$43,6,FALSE)</f>
        <v>3.22</v>
      </c>
      <c r="M111" s="37">
        <f>IF($E111="Snakpak",(($J111*H111)+($K111*'Labor Cost'!$A$2)+L111)+2.25,($J111*H111)+($K111*'Labor Cost'!$A$2)+L111+1)</f>
        <v>38.094999999999999</v>
      </c>
      <c r="N111" s="38">
        <f t="shared" si="34"/>
        <v>47.618749999999999</v>
      </c>
      <c r="O111" s="38">
        <f t="shared" si="35"/>
        <v>49.523499999999999</v>
      </c>
      <c r="P111" s="38">
        <f t="shared" si="36"/>
        <v>51.428249999999998</v>
      </c>
      <c r="Q111" s="38">
        <f t="shared" si="37"/>
        <v>53.332999999999998</v>
      </c>
      <c r="R111" s="38">
        <f t="shared" si="38"/>
        <v>55.237749999999998</v>
      </c>
      <c r="S111" s="38">
        <f t="shared" si="39"/>
        <v>47.5</v>
      </c>
      <c r="T111" s="38">
        <f t="shared" si="40"/>
        <v>49.5</v>
      </c>
      <c r="U111" s="38">
        <f t="shared" si="41"/>
        <v>51.5</v>
      </c>
      <c r="V111" s="38">
        <f t="shared" si="42"/>
        <v>53.25</v>
      </c>
      <c r="W111" s="38">
        <f t="shared" si="43"/>
        <v>55.25</v>
      </c>
    </row>
    <row r="112" spans="1:23" ht="21" customHeight="1" x14ac:dyDescent="0.2">
      <c r="A112" s="19" t="s">
        <v>418</v>
      </c>
      <c r="B112" s="19" t="s">
        <v>417</v>
      </c>
      <c r="C112" s="32" t="s">
        <v>37</v>
      </c>
      <c r="D112" s="32" t="s">
        <v>384</v>
      </c>
      <c r="E112" s="20" t="s">
        <v>388</v>
      </c>
      <c r="F112" s="20" t="s">
        <v>410</v>
      </c>
      <c r="G112" s="33">
        <v>20</v>
      </c>
      <c r="H112" s="34">
        <f>VLOOKUP($C112,'Raw Cost'!$A$1:$B$484,2,FALSE)/G112</f>
        <v>2.1</v>
      </c>
      <c r="I112" s="34">
        <f t="shared" si="33"/>
        <v>0.13125000000000001</v>
      </c>
      <c r="J112" s="35">
        <v>5</v>
      </c>
      <c r="K112" s="35">
        <v>0.1</v>
      </c>
      <c r="L112" s="36">
        <f>VLOOKUP($F112,'Packaging Cost'!$A$1:$F$43,6,FALSE)</f>
        <v>0.2</v>
      </c>
      <c r="M112" s="37">
        <f>IF($E112="Snakpak",(($J112*H112)+($K112*'Labor Cost'!$A$2)+L112)+2.25,($J112*H112)+($K112*'Labor Cost'!$A$2)+L112)</f>
        <v>13.049999999999999</v>
      </c>
      <c r="N112" s="38">
        <f t="shared" si="34"/>
        <v>16.3125</v>
      </c>
      <c r="O112" s="38">
        <f t="shared" si="35"/>
        <v>16.965</v>
      </c>
      <c r="P112" s="38">
        <f t="shared" si="36"/>
        <v>17.6175</v>
      </c>
      <c r="Q112" s="38">
        <f t="shared" si="37"/>
        <v>18.269999999999996</v>
      </c>
      <c r="R112" s="38">
        <f t="shared" si="38"/>
        <v>18.922499999999999</v>
      </c>
      <c r="S112" s="38">
        <f t="shared" si="39"/>
        <v>16.25</v>
      </c>
      <c r="T112" s="38">
        <f t="shared" si="40"/>
        <v>17</v>
      </c>
      <c r="U112" s="38">
        <f t="shared" si="41"/>
        <v>17.5</v>
      </c>
      <c r="V112" s="38">
        <f t="shared" si="42"/>
        <v>18.25</v>
      </c>
      <c r="W112" s="38">
        <f t="shared" si="43"/>
        <v>19</v>
      </c>
    </row>
    <row r="113" spans="1:23" ht="21" customHeight="1" x14ac:dyDescent="0.2">
      <c r="A113" s="19" t="s">
        <v>80</v>
      </c>
      <c r="B113" s="19" t="s">
        <v>232</v>
      </c>
      <c r="C113" s="32" t="s">
        <v>37</v>
      </c>
      <c r="D113" s="32" t="s">
        <v>384</v>
      </c>
      <c r="E113" s="20" t="s">
        <v>388</v>
      </c>
      <c r="F113" s="20" t="s">
        <v>397</v>
      </c>
      <c r="G113" s="33">
        <v>15</v>
      </c>
      <c r="H113" s="34">
        <f>VLOOKUP($C113,'Raw Cost'!$A$1:$B$484,2,FALSE)/G113</f>
        <v>2.8</v>
      </c>
      <c r="I113" s="34">
        <f t="shared" si="33"/>
        <v>0.17499999999999999</v>
      </c>
      <c r="J113" s="35">
        <v>10</v>
      </c>
      <c r="K113" s="35">
        <v>0.25</v>
      </c>
      <c r="L113" s="36">
        <f>VLOOKUP($F113,'Packaging Cost'!$A$1:$F$43,6,FALSE)</f>
        <v>3.22</v>
      </c>
      <c r="M113" s="37">
        <f>IF($E113="Snakpak",(($J113*H113)+($K113*'Labor Cost'!$A$2)+L113)+2.25,($J113*H113)+($K113*'Labor Cost'!$A$2)+L113+1)</f>
        <v>38.094999999999999</v>
      </c>
      <c r="N113" s="38">
        <f t="shared" si="34"/>
        <v>47.618749999999999</v>
      </c>
      <c r="O113" s="38">
        <f t="shared" si="35"/>
        <v>49.523499999999999</v>
      </c>
      <c r="P113" s="38">
        <f t="shared" si="36"/>
        <v>51.428249999999998</v>
      </c>
      <c r="Q113" s="38">
        <f t="shared" si="37"/>
        <v>53.332999999999998</v>
      </c>
      <c r="R113" s="38">
        <f t="shared" si="38"/>
        <v>55.237749999999998</v>
      </c>
      <c r="S113" s="38">
        <f t="shared" si="39"/>
        <v>47.5</v>
      </c>
      <c r="T113" s="38">
        <f t="shared" si="40"/>
        <v>49.5</v>
      </c>
      <c r="U113" s="38">
        <f t="shared" si="41"/>
        <v>51.5</v>
      </c>
      <c r="V113" s="38">
        <f t="shared" si="42"/>
        <v>53.25</v>
      </c>
      <c r="W113" s="38">
        <f t="shared" si="43"/>
        <v>55.25</v>
      </c>
    </row>
    <row r="114" spans="1:23" ht="21" customHeight="1" x14ac:dyDescent="0.2">
      <c r="A114" s="19" t="s">
        <v>1050</v>
      </c>
      <c r="B114" s="19" t="s">
        <v>227</v>
      </c>
      <c r="C114" s="32" t="s">
        <v>1024</v>
      </c>
      <c r="D114" s="32" t="s">
        <v>384</v>
      </c>
      <c r="E114" s="20" t="s">
        <v>388</v>
      </c>
      <c r="F114" s="20" t="s">
        <v>398</v>
      </c>
      <c r="G114" s="33">
        <v>15</v>
      </c>
      <c r="H114" s="34">
        <f>VLOOKUP($C114,'Raw Cost'!$A$1:$B$484,2,FALSE)/G114</f>
        <v>1.0666666666666667</v>
      </c>
      <c r="I114" s="34">
        <f t="shared" si="33"/>
        <v>6.6666666666666666E-2</v>
      </c>
      <c r="J114" s="35">
        <v>10</v>
      </c>
      <c r="K114" s="35">
        <v>0.25</v>
      </c>
      <c r="L114" s="36">
        <f>VLOOKUP($F114,'Packaging Cost'!$A$1:$F$43,6,FALSE)</f>
        <v>2.52</v>
      </c>
      <c r="M114" s="37">
        <f>IF($E114="Snakpak",(($J114*H114)+($K114*'Labor Cost'!$A$2)+L114)+2.25,($J114*H114)+($K114*'Labor Cost'!$A$2)+L114+1)</f>
        <v>20.061666666666664</v>
      </c>
      <c r="N114" s="38">
        <f t="shared" si="34"/>
        <v>25.077083333333331</v>
      </c>
      <c r="O114" s="38">
        <f t="shared" si="35"/>
        <v>26.080166666666663</v>
      </c>
      <c r="P114" s="38">
        <f t="shared" si="36"/>
        <v>27.08325</v>
      </c>
      <c r="Q114" s="38">
        <f t="shared" si="37"/>
        <v>28.086333333333329</v>
      </c>
      <c r="R114" s="38">
        <f t="shared" si="38"/>
        <v>29.089416666666661</v>
      </c>
      <c r="S114" s="38">
        <f t="shared" si="39"/>
        <v>25</v>
      </c>
      <c r="T114" s="38">
        <f t="shared" si="40"/>
        <v>26</v>
      </c>
      <c r="U114" s="38">
        <f t="shared" si="41"/>
        <v>27</v>
      </c>
      <c r="V114" s="38">
        <f t="shared" si="42"/>
        <v>28</v>
      </c>
      <c r="W114" s="38">
        <f t="shared" si="43"/>
        <v>29</v>
      </c>
    </row>
    <row r="115" spans="1:23" ht="21" customHeight="1" x14ac:dyDescent="0.2">
      <c r="A115" s="19" t="s">
        <v>79</v>
      </c>
      <c r="B115" s="19" t="s">
        <v>230</v>
      </c>
      <c r="C115" s="32" t="s">
        <v>38</v>
      </c>
      <c r="D115" s="32" t="s">
        <v>384</v>
      </c>
      <c r="E115" s="20" t="s">
        <v>388</v>
      </c>
      <c r="F115" s="20" t="s">
        <v>397</v>
      </c>
      <c r="G115" s="33">
        <v>15</v>
      </c>
      <c r="H115" s="34">
        <f>VLOOKUP($C115,'Raw Cost'!$A$1:$B$484,2,FALSE)/G115</f>
        <v>2.6</v>
      </c>
      <c r="I115" s="34">
        <f t="shared" si="33"/>
        <v>0.16250000000000001</v>
      </c>
      <c r="J115" s="35">
        <v>10</v>
      </c>
      <c r="K115" s="35">
        <v>0.25</v>
      </c>
      <c r="L115" s="36">
        <f>VLOOKUP($F115,'Packaging Cost'!$A$1:$F$43,6,FALSE)</f>
        <v>3.22</v>
      </c>
      <c r="M115" s="37">
        <f>IF($E115="Snakpak",(($J115*H115)+($K115*'Labor Cost'!$A$2)+L115)+2.25,($J115*H115)+($K115*'Labor Cost'!$A$2)+L115+1)</f>
        <v>36.094999999999999</v>
      </c>
      <c r="N115" s="38">
        <f t="shared" si="34"/>
        <v>45.118749999999999</v>
      </c>
      <c r="O115" s="38">
        <f t="shared" si="35"/>
        <v>46.923499999999997</v>
      </c>
      <c r="P115" s="38">
        <f t="shared" si="36"/>
        <v>48.728250000000003</v>
      </c>
      <c r="Q115" s="38">
        <f t="shared" si="37"/>
        <v>50.532999999999994</v>
      </c>
      <c r="R115" s="38">
        <f t="shared" si="38"/>
        <v>52.33775</v>
      </c>
      <c r="S115" s="38">
        <f t="shared" si="39"/>
        <v>45</v>
      </c>
      <c r="T115" s="38">
        <f t="shared" si="40"/>
        <v>47</v>
      </c>
      <c r="U115" s="38">
        <f t="shared" si="41"/>
        <v>48.75</v>
      </c>
      <c r="V115" s="38">
        <f t="shared" si="42"/>
        <v>50.5</v>
      </c>
      <c r="W115" s="38">
        <f t="shared" si="43"/>
        <v>52.25</v>
      </c>
    </row>
    <row r="116" spans="1:23" ht="21" customHeight="1" x14ac:dyDescent="0.2">
      <c r="A116" s="19" t="s">
        <v>92</v>
      </c>
      <c r="B116" s="19" t="s">
        <v>257</v>
      </c>
      <c r="C116" s="32" t="s">
        <v>38</v>
      </c>
      <c r="D116" s="32" t="s">
        <v>384</v>
      </c>
      <c r="E116" s="20" t="s">
        <v>388</v>
      </c>
      <c r="F116" s="20" t="s">
        <v>398</v>
      </c>
      <c r="G116" s="33">
        <v>15</v>
      </c>
      <c r="H116" s="34">
        <f>VLOOKUP($C116,'Raw Cost'!$A$1:$B$484,2,FALSE)/G116</f>
        <v>2.6</v>
      </c>
      <c r="I116" s="34">
        <f t="shared" si="33"/>
        <v>0.16250000000000001</v>
      </c>
      <c r="J116" s="35">
        <v>10</v>
      </c>
      <c r="K116" s="35">
        <v>0.25</v>
      </c>
      <c r="L116" s="36">
        <f>VLOOKUP($F116,'Packaging Cost'!$A$1:$F$43,6,FALSE)</f>
        <v>2.52</v>
      </c>
      <c r="M116" s="37">
        <f>IF($E116="Snakpak",(($J116*H116)+($K116*'Labor Cost'!$A$2)+L116)+2.25,($J116*H116)+($K116*'Labor Cost'!$A$2)+L116+1)</f>
        <v>35.395000000000003</v>
      </c>
      <c r="N116" s="38">
        <f t="shared" si="34"/>
        <v>44.243750000000006</v>
      </c>
      <c r="O116" s="38">
        <f t="shared" si="35"/>
        <v>46.013500000000008</v>
      </c>
      <c r="P116" s="38">
        <f t="shared" si="36"/>
        <v>47.78325000000001</v>
      </c>
      <c r="Q116" s="38">
        <f t="shared" si="37"/>
        <v>49.553000000000004</v>
      </c>
      <c r="R116" s="38">
        <f t="shared" si="38"/>
        <v>51.322750000000006</v>
      </c>
      <c r="S116" s="38">
        <f t="shared" si="39"/>
        <v>44.25</v>
      </c>
      <c r="T116" s="38">
        <f t="shared" si="40"/>
        <v>46</v>
      </c>
      <c r="U116" s="38">
        <f t="shared" si="41"/>
        <v>47.75</v>
      </c>
      <c r="V116" s="38">
        <f t="shared" si="42"/>
        <v>49.5</v>
      </c>
      <c r="W116" s="38">
        <f t="shared" si="43"/>
        <v>51.25</v>
      </c>
    </row>
    <row r="117" spans="1:23" ht="21" customHeight="1" x14ac:dyDescent="0.2">
      <c r="A117" s="19" t="s">
        <v>77</v>
      </c>
      <c r="B117" s="19" t="s">
        <v>228</v>
      </c>
      <c r="C117" s="20" t="s">
        <v>570</v>
      </c>
      <c r="D117" s="20" t="s">
        <v>384</v>
      </c>
      <c r="E117" s="20" t="s">
        <v>388</v>
      </c>
      <c r="F117" s="20" t="s">
        <v>398</v>
      </c>
      <c r="G117" s="33">
        <v>10</v>
      </c>
      <c r="H117" s="34">
        <f>VLOOKUP($C117,'Raw Cost'!$A$1:$B$484,2,FALSE)/G117</f>
        <v>2.6133333333333328</v>
      </c>
      <c r="I117" s="34">
        <f t="shared" si="33"/>
        <v>0.1633333333333333</v>
      </c>
      <c r="J117" s="35">
        <v>10</v>
      </c>
      <c r="K117" s="35">
        <v>0.25</v>
      </c>
      <c r="L117" s="36">
        <f>VLOOKUP($F117,'Packaging Cost'!$A$1:$F$43,6,FALSE)</f>
        <v>2.52</v>
      </c>
      <c r="M117" s="37">
        <f>IF($E117="Snakpak",(($J117*H117)+($K117*'Labor Cost'!$A$2)+L117)+2.25,($J117*H117)+($K117*'Labor Cost'!$A$2)+L117+1)</f>
        <v>35.528333333333329</v>
      </c>
      <c r="N117" s="38">
        <f t="shared" si="34"/>
        <v>44.410416666666663</v>
      </c>
      <c r="O117" s="38">
        <f t="shared" si="35"/>
        <v>46.186833333333333</v>
      </c>
      <c r="P117" s="38">
        <f t="shared" si="36"/>
        <v>47.963249999999995</v>
      </c>
      <c r="Q117" s="38">
        <f t="shared" si="37"/>
        <v>49.739666666666658</v>
      </c>
      <c r="R117" s="38">
        <f t="shared" si="38"/>
        <v>51.516083333333327</v>
      </c>
      <c r="S117" s="38">
        <f t="shared" si="39"/>
        <v>44.5</v>
      </c>
      <c r="T117" s="38">
        <f t="shared" si="40"/>
        <v>46.25</v>
      </c>
      <c r="U117" s="38">
        <f t="shared" si="41"/>
        <v>48</v>
      </c>
      <c r="V117" s="38">
        <f t="shared" si="42"/>
        <v>49.75</v>
      </c>
      <c r="W117" s="38">
        <f t="shared" si="43"/>
        <v>51.5</v>
      </c>
    </row>
    <row r="118" spans="1:23" ht="21" customHeight="1" x14ac:dyDescent="0.2">
      <c r="A118" s="19" t="s">
        <v>90</v>
      </c>
      <c r="B118" s="19" t="s">
        <v>255</v>
      </c>
      <c r="C118" s="20" t="s">
        <v>570</v>
      </c>
      <c r="D118" s="20" t="s">
        <v>384</v>
      </c>
      <c r="E118" s="20" t="s">
        <v>388</v>
      </c>
      <c r="F118" s="20" t="s">
        <v>398</v>
      </c>
      <c r="G118" s="33">
        <v>10</v>
      </c>
      <c r="H118" s="34">
        <f>VLOOKUP($C118,'Raw Cost'!$A$1:$B$484,2,FALSE)/G118</f>
        <v>2.6133333333333328</v>
      </c>
      <c r="I118" s="34">
        <f t="shared" si="33"/>
        <v>0.1633333333333333</v>
      </c>
      <c r="J118" s="35">
        <v>10</v>
      </c>
      <c r="K118" s="35">
        <v>0.25</v>
      </c>
      <c r="L118" s="36">
        <f>VLOOKUP($F118,'Packaging Cost'!$A$1:$F$43,6,FALSE)</f>
        <v>2.52</v>
      </c>
      <c r="M118" s="37">
        <f>IF($E118="Snakpak",(($J118*H118)+($K118*'Labor Cost'!$A$2)+L118)+2.25,($J118*H118)+($K118*'Labor Cost'!$A$2)+L118+1)</f>
        <v>35.528333333333329</v>
      </c>
      <c r="N118" s="38">
        <f t="shared" si="34"/>
        <v>44.410416666666663</v>
      </c>
      <c r="O118" s="38">
        <f t="shared" si="35"/>
        <v>46.186833333333333</v>
      </c>
      <c r="P118" s="38">
        <f t="shared" si="36"/>
        <v>47.963249999999995</v>
      </c>
      <c r="Q118" s="38">
        <f t="shared" si="37"/>
        <v>49.739666666666658</v>
      </c>
      <c r="R118" s="38">
        <f t="shared" si="38"/>
        <v>51.516083333333327</v>
      </c>
      <c r="S118" s="38">
        <f t="shared" si="39"/>
        <v>44.5</v>
      </c>
      <c r="T118" s="38">
        <f t="shared" si="40"/>
        <v>46.25</v>
      </c>
      <c r="U118" s="38">
        <f t="shared" si="41"/>
        <v>48</v>
      </c>
      <c r="V118" s="38">
        <f t="shared" si="42"/>
        <v>49.75</v>
      </c>
      <c r="W118" s="38">
        <f t="shared" si="43"/>
        <v>51.5</v>
      </c>
    </row>
    <row r="119" spans="1:23" ht="21" customHeight="1" x14ac:dyDescent="0.2">
      <c r="A119" s="19" t="s">
        <v>114</v>
      </c>
      <c r="B119" s="19" t="s">
        <v>272</v>
      </c>
      <c r="C119" s="20" t="s">
        <v>571</v>
      </c>
      <c r="D119" s="20" t="s">
        <v>384</v>
      </c>
      <c r="E119" s="20" t="s">
        <v>388</v>
      </c>
      <c r="F119" s="20" t="s">
        <v>440</v>
      </c>
      <c r="G119" s="33">
        <v>10</v>
      </c>
      <c r="H119" s="34">
        <f>VLOOKUP($C119,'Raw Cost'!$A$1:$B$484,2,FALSE)/G119</f>
        <v>1.8866666666666667</v>
      </c>
      <c r="I119" s="34">
        <f t="shared" si="33"/>
        <v>0.11791666666666667</v>
      </c>
      <c r="J119" s="35">
        <v>10</v>
      </c>
      <c r="K119" s="35">
        <v>0.25</v>
      </c>
      <c r="L119" s="36">
        <f>VLOOKUP($F119,'Packaging Cost'!$A$1:$F$43,6,FALSE)</f>
        <v>5.46</v>
      </c>
      <c r="M119" s="37">
        <f>IF($E119="Snakpak",(($J119*H119)+($K119*'Labor Cost'!$A$2)+L119)+2.25,($J119*H119)+($K119*'Labor Cost'!$A$2)+L119+1)</f>
        <v>31.201666666666668</v>
      </c>
      <c r="N119" s="38">
        <f t="shared" si="34"/>
        <v>39.002083333333331</v>
      </c>
      <c r="O119" s="38">
        <f t="shared" si="35"/>
        <v>40.56216666666667</v>
      </c>
      <c r="P119" s="38">
        <f t="shared" si="36"/>
        <v>42.122250000000001</v>
      </c>
      <c r="Q119" s="38">
        <f t="shared" si="37"/>
        <v>43.682333333333332</v>
      </c>
      <c r="R119" s="38">
        <f t="shared" si="38"/>
        <v>45.242416666666671</v>
      </c>
      <c r="S119" s="38">
        <f t="shared" si="39"/>
        <v>39</v>
      </c>
      <c r="T119" s="38">
        <f t="shared" si="40"/>
        <v>40.5</v>
      </c>
      <c r="U119" s="38">
        <f t="shared" si="41"/>
        <v>42</v>
      </c>
      <c r="V119" s="38">
        <f t="shared" si="42"/>
        <v>43.75</v>
      </c>
      <c r="W119" s="38">
        <f t="shared" si="43"/>
        <v>45.25</v>
      </c>
    </row>
    <row r="120" spans="1:23" ht="21" customHeight="1" x14ac:dyDescent="0.2">
      <c r="A120" s="19" t="s">
        <v>118</v>
      </c>
      <c r="B120" s="19" t="s">
        <v>276</v>
      </c>
      <c r="C120" s="32" t="s">
        <v>39</v>
      </c>
      <c r="D120" s="32" t="s">
        <v>384</v>
      </c>
      <c r="E120" s="20" t="s">
        <v>388</v>
      </c>
      <c r="F120" s="20" t="s">
        <v>399</v>
      </c>
      <c r="G120" s="33">
        <v>10</v>
      </c>
      <c r="H120" s="34">
        <f>VLOOKUP($C120,'Raw Cost'!$A$1:$B$484,2,FALSE)/G120</f>
        <v>1.8</v>
      </c>
      <c r="I120" s="34">
        <f t="shared" si="33"/>
        <v>0.1125</v>
      </c>
      <c r="J120" s="35">
        <v>5</v>
      </c>
      <c r="K120" s="35">
        <v>0.25</v>
      </c>
      <c r="L120" s="36">
        <f>VLOOKUP($F120,'Packaging Cost'!$A$1:$F$43,6,FALSE)</f>
        <v>1.7600000000000002</v>
      </c>
      <c r="M120" s="37">
        <f>IF($E120="Snakpak",(($J120*H120)+($K120*'Labor Cost'!$A$2)+L120)+2.25,($J120*H120)+($K120*'Labor Cost'!$A$2)+L120+1)</f>
        <v>17.635000000000002</v>
      </c>
      <c r="N120" s="38">
        <f t="shared" si="34"/>
        <v>22.043750000000003</v>
      </c>
      <c r="O120" s="38">
        <f t="shared" si="35"/>
        <v>22.925500000000003</v>
      </c>
      <c r="P120" s="38">
        <f t="shared" si="36"/>
        <v>23.807250000000003</v>
      </c>
      <c r="Q120" s="38">
        <f t="shared" si="37"/>
        <v>24.689</v>
      </c>
      <c r="R120" s="38">
        <f t="shared" si="38"/>
        <v>25.57075</v>
      </c>
      <c r="S120" s="38">
        <f t="shared" si="39"/>
        <v>22</v>
      </c>
      <c r="T120" s="38">
        <f t="shared" si="40"/>
        <v>23</v>
      </c>
      <c r="U120" s="38">
        <f t="shared" si="41"/>
        <v>23.75</v>
      </c>
      <c r="V120" s="38">
        <f t="shared" si="42"/>
        <v>24.75</v>
      </c>
      <c r="W120" s="38">
        <f t="shared" si="43"/>
        <v>25.5</v>
      </c>
    </row>
    <row r="121" spans="1:23" ht="21" customHeight="1" x14ac:dyDescent="0.2">
      <c r="A121" s="19" t="s">
        <v>117</v>
      </c>
      <c r="B121" s="19" t="s">
        <v>275</v>
      </c>
      <c r="C121" s="32" t="s">
        <v>39</v>
      </c>
      <c r="D121" s="32" t="s">
        <v>384</v>
      </c>
      <c r="E121" s="20" t="s">
        <v>388</v>
      </c>
      <c r="F121" s="20" t="s">
        <v>399</v>
      </c>
      <c r="G121" s="33">
        <v>10</v>
      </c>
      <c r="H121" s="34">
        <f>VLOOKUP($C121,'Raw Cost'!$A$1:$B$484,2,FALSE)/G121</f>
        <v>1.8</v>
      </c>
      <c r="I121" s="34">
        <f t="shared" si="33"/>
        <v>0.1125</v>
      </c>
      <c r="J121" s="35">
        <v>5</v>
      </c>
      <c r="K121" s="35">
        <v>0.25</v>
      </c>
      <c r="L121" s="36">
        <f>VLOOKUP($F121,'Packaging Cost'!$A$1:$F$43,6,FALSE)</f>
        <v>1.7600000000000002</v>
      </c>
      <c r="M121" s="37">
        <f>IF($E121="Snakpak",(($J121*H121)+($K121*'Labor Cost'!$A$2)+L121)+2.25,($J121*H121)+($K121*'Labor Cost'!$A$2)+L121+1)</f>
        <v>17.635000000000002</v>
      </c>
      <c r="N121" s="38">
        <f t="shared" si="34"/>
        <v>22.043750000000003</v>
      </c>
      <c r="O121" s="38">
        <f t="shared" si="35"/>
        <v>22.925500000000003</v>
      </c>
      <c r="P121" s="38">
        <f t="shared" si="36"/>
        <v>23.807250000000003</v>
      </c>
      <c r="Q121" s="38">
        <f t="shared" si="37"/>
        <v>24.689</v>
      </c>
      <c r="R121" s="38">
        <f t="shared" si="38"/>
        <v>25.57075</v>
      </c>
      <c r="S121" s="38">
        <f t="shared" si="39"/>
        <v>22</v>
      </c>
      <c r="T121" s="38">
        <f t="shared" si="40"/>
        <v>23</v>
      </c>
      <c r="U121" s="38">
        <f t="shared" si="41"/>
        <v>23.75</v>
      </c>
      <c r="V121" s="38">
        <f t="shared" si="42"/>
        <v>24.75</v>
      </c>
      <c r="W121" s="38">
        <f t="shared" si="43"/>
        <v>25.5</v>
      </c>
    </row>
    <row r="122" spans="1:23" ht="21" customHeight="1" x14ac:dyDescent="0.2">
      <c r="A122" s="19" t="s">
        <v>119</v>
      </c>
      <c r="B122" s="19" t="s">
        <v>277</v>
      </c>
      <c r="C122" s="32" t="s">
        <v>39</v>
      </c>
      <c r="D122" s="32" t="s">
        <v>384</v>
      </c>
      <c r="E122" s="20" t="s">
        <v>388</v>
      </c>
      <c r="F122" s="20" t="s">
        <v>397</v>
      </c>
      <c r="G122" s="33">
        <v>10</v>
      </c>
      <c r="H122" s="34">
        <f>VLOOKUP($C122,'Raw Cost'!$A$1:$B$484,2,FALSE)/G122</f>
        <v>1.8</v>
      </c>
      <c r="I122" s="34">
        <f t="shared" si="33"/>
        <v>0.1125</v>
      </c>
      <c r="J122" s="35">
        <v>10</v>
      </c>
      <c r="K122" s="35">
        <v>0.25</v>
      </c>
      <c r="L122" s="36">
        <f>VLOOKUP($F122,'Packaging Cost'!$A$1:$F$43,6,FALSE)</f>
        <v>3.22</v>
      </c>
      <c r="M122" s="37">
        <f>IF($E122="Snakpak",(($J122*H122)+($K122*'Labor Cost'!$A$2)+L122)+2.25,($J122*H122)+($K122*'Labor Cost'!$A$2)+L122+1)</f>
        <v>28.094999999999999</v>
      </c>
      <c r="N122" s="38">
        <f t="shared" si="34"/>
        <v>35.118749999999999</v>
      </c>
      <c r="O122" s="38">
        <f t="shared" si="35"/>
        <v>36.523499999999999</v>
      </c>
      <c r="P122" s="38">
        <f t="shared" si="36"/>
        <v>37.928249999999998</v>
      </c>
      <c r="Q122" s="38">
        <f t="shared" si="37"/>
        <v>39.332999999999998</v>
      </c>
      <c r="R122" s="38">
        <f t="shared" si="38"/>
        <v>40.737749999999998</v>
      </c>
      <c r="S122" s="38">
        <f t="shared" si="39"/>
        <v>35</v>
      </c>
      <c r="T122" s="38">
        <f t="shared" si="40"/>
        <v>36.5</v>
      </c>
      <c r="U122" s="38">
        <f t="shared" si="41"/>
        <v>38</v>
      </c>
      <c r="V122" s="38">
        <f t="shared" si="42"/>
        <v>39.25</v>
      </c>
      <c r="W122" s="38">
        <f t="shared" si="43"/>
        <v>40.75</v>
      </c>
    </row>
    <row r="123" spans="1:23" ht="21" customHeight="1" x14ac:dyDescent="0.2">
      <c r="A123" s="19" t="s">
        <v>122</v>
      </c>
      <c r="B123" s="19" t="s">
        <v>280</v>
      </c>
      <c r="C123" s="20" t="s">
        <v>40</v>
      </c>
      <c r="D123" s="20" t="s">
        <v>384</v>
      </c>
      <c r="E123" s="20" t="s">
        <v>388</v>
      </c>
      <c r="F123" s="20" t="s">
        <v>622</v>
      </c>
      <c r="G123" s="33">
        <v>40</v>
      </c>
      <c r="H123" s="34">
        <f>VLOOKUP($C123,'Raw Cost'!$A$1:$B$484,2,FALSE)/G123</f>
        <v>0.5</v>
      </c>
      <c r="I123" s="34">
        <f t="shared" si="33"/>
        <v>3.125E-2</v>
      </c>
      <c r="J123" s="35">
        <v>20</v>
      </c>
      <c r="K123" s="35">
        <v>0.25</v>
      </c>
      <c r="L123" s="36">
        <f>VLOOKUP($F123,'Packaging Cost'!$A$1:$F$43,6,FALSE)</f>
        <v>1.85</v>
      </c>
      <c r="M123" s="37">
        <f>IF($E123="Snakpak",(($J123*H123)+($K123*'Labor Cost'!$A$2)+L123)+2.25,($J123*H123)+($K123*'Labor Cost'!$A$2)+L123+1)</f>
        <v>18.725000000000001</v>
      </c>
      <c r="N123" s="38">
        <f t="shared" si="34"/>
        <v>23.40625</v>
      </c>
      <c r="O123" s="38">
        <f t="shared" si="35"/>
        <v>24.342500000000001</v>
      </c>
      <c r="P123" s="38">
        <f t="shared" si="36"/>
        <v>25.278750000000002</v>
      </c>
      <c r="Q123" s="38">
        <f t="shared" si="37"/>
        <v>26.215</v>
      </c>
      <c r="R123" s="38">
        <f t="shared" si="38"/>
        <v>27.151250000000001</v>
      </c>
      <c r="S123" s="38">
        <f t="shared" si="39"/>
        <v>23.5</v>
      </c>
      <c r="T123" s="38">
        <f t="shared" si="40"/>
        <v>24.25</v>
      </c>
      <c r="U123" s="38">
        <f t="shared" si="41"/>
        <v>25.25</v>
      </c>
      <c r="V123" s="38">
        <f t="shared" si="42"/>
        <v>26.25</v>
      </c>
      <c r="W123" s="38">
        <f t="shared" si="43"/>
        <v>27.25</v>
      </c>
    </row>
    <row r="124" spans="1:23" ht="21" customHeight="1" x14ac:dyDescent="0.2">
      <c r="A124" s="19" t="s">
        <v>97</v>
      </c>
      <c r="B124" s="19" t="s">
        <v>283</v>
      </c>
      <c r="C124" s="20" t="s">
        <v>41</v>
      </c>
      <c r="D124" s="20" t="s">
        <v>384</v>
      </c>
      <c r="E124" s="20" t="s">
        <v>388</v>
      </c>
      <c r="F124" s="20" t="s">
        <v>622</v>
      </c>
      <c r="G124" s="33">
        <v>38</v>
      </c>
      <c r="H124" s="34">
        <f>VLOOKUP($C124,'Raw Cost'!$A$1:$B$484,2,FALSE)/G124</f>
        <v>0.47368421052631576</v>
      </c>
      <c r="I124" s="34">
        <f t="shared" si="33"/>
        <v>2.9605263157894735E-2</v>
      </c>
      <c r="J124" s="35">
        <v>20</v>
      </c>
      <c r="K124" s="35">
        <v>0.25</v>
      </c>
      <c r="L124" s="36">
        <f>VLOOKUP($F124,'Packaging Cost'!$A$1:$F$43,6,FALSE)</f>
        <v>1.85</v>
      </c>
      <c r="M124" s="37">
        <f>IF($E124="Snakpak",(($J124*H124)+($K124*'Labor Cost'!$A$2)+L124)+2.25,($J124*H124)+($K124*'Labor Cost'!$A$2)+L124+1)</f>
        <v>18.198684210526316</v>
      </c>
      <c r="N124" s="38">
        <f t="shared" si="34"/>
        <v>22.748355263157897</v>
      </c>
      <c r="O124" s="38">
        <f t="shared" si="35"/>
        <v>23.658289473684214</v>
      </c>
      <c r="P124" s="38">
        <f t="shared" si="36"/>
        <v>24.56822368421053</v>
      </c>
      <c r="Q124" s="38">
        <f t="shared" si="37"/>
        <v>25.478157894736842</v>
      </c>
      <c r="R124" s="38">
        <f t="shared" si="38"/>
        <v>26.388092105263159</v>
      </c>
      <c r="S124" s="38">
        <f t="shared" si="39"/>
        <v>22.75</v>
      </c>
      <c r="T124" s="38">
        <f t="shared" si="40"/>
        <v>23.75</v>
      </c>
      <c r="U124" s="38">
        <f t="shared" si="41"/>
        <v>24.5</v>
      </c>
      <c r="V124" s="38">
        <f t="shared" si="42"/>
        <v>25.5</v>
      </c>
      <c r="W124" s="38">
        <f t="shared" si="43"/>
        <v>26.5</v>
      </c>
    </row>
    <row r="125" spans="1:23" ht="21" customHeight="1" x14ac:dyDescent="0.2">
      <c r="A125" s="19" t="s">
        <v>127</v>
      </c>
      <c r="B125" s="19" t="s">
        <v>287</v>
      </c>
      <c r="C125" s="20" t="s">
        <v>40</v>
      </c>
      <c r="D125" s="20" t="s">
        <v>384</v>
      </c>
      <c r="E125" s="20" t="s">
        <v>388</v>
      </c>
      <c r="F125" s="20" t="s">
        <v>622</v>
      </c>
      <c r="G125" s="33">
        <v>48</v>
      </c>
      <c r="H125" s="34">
        <f>VLOOKUP($C125,'Raw Cost'!$A$1:$B$484,2,FALSE)/G125</f>
        <v>0.41666666666666669</v>
      </c>
      <c r="I125" s="34">
        <f t="shared" si="33"/>
        <v>2.6041666666666668E-2</v>
      </c>
      <c r="J125" s="35">
        <v>20</v>
      </c>
      <c r="K125" s="35">
        <v>0.25</v>
      </c>
      <c r="L125" s="36">
        <f>VLOOKUP($F125,'Packaging Cost'!$A$1:$F$43,6,FALSE)</f>
        <v>1.85</v>
      </c>
      <c r="M125" s="37">
        <f>IF($E125="Snakpak",(($J125*H125)+($K125*'Labor Cost'!$A$2)+L125)+2.25,($J125*H125)+($K125*'Labor Cost'!$A$2)+L125+1)</f>
        <v>17.058333333333334</v>
      </c>
      <c r="N125" s="38">
        <f t="shared" si="34"/>
        <v>21.322916666666668</v>
      </c>
      <c r="O125" s="38">
        <f t="shared" si="35"/>
        <v>22.175833333333333</v>
      </c>
      <c r="P125" s="38">
        <f t="shared" si="36"/>
        <v>23.028750000000002</v>
      </c>
      <c r="Q125" s="38">
        <f t="shared" si="37"/>
        <v>23.881666666666664</v>
      </c>
      <c r="R125" s="38">
        <f t="shared" si="38"/>
        <v>24.734583333333333</v>
      </c>
      <c r="S125" s="38">
        <f t="shared" si="39"/>
        <v>21.25</v>
      </c>
      <c r="T125" s="38">
        <f t="shared" si="40"/>
        <v>22.25</v>
      </c>
      <c r="U125" s="38">
        <f t="shared" si="41"/>
        <v>23</v>
      </c>
      <c r="V125" s="38">
        <f t="shared" si="42"/>
        <v>24</v>
      </c>
      <c r="W125" s="38">
        <f t="shared" si="43"/>
        <v>24.75</v>
      </c>
    </row>
    <row r="126" spans="1:23" ht="21" customHeight="1" x14ac:dyDescent="0.2">
      <c r="A126" s="19" t="s">
        <v>121</v>
      </c>
      <c r="B126" s="19" t="s">
        <v>279</v>
      </c>
      <c r="C126" s="20" t="s">
        <v>40</v>
      </c>
      <c r="D126" s="20" t="s">
        <v>384</v>
      </c>
      <c r="E126" s="20" t="s">
        <v>388</v>
      </c>
      <c r="F126" s="20" t="s">
        <v>621</v>
      </c>
      <c r="G126" s="33">
        <v>40</v>
      </c>
      <c r="H126" s="34">
        <f>VLOOKUP($C126,'Raw Cost'!$A$1:$B$484,2,FALSE)/G126</f>
        <v>0.5</v>
      </c>
      <c r="I126" s="34">
        <f t="shared" si="33"/>
        <v>3.125E-2</v>
      </c>
      <c r="J126" s="35">
        <v>10</v>
      </c>
      <c r="K126" s="35">
        <v>0.25</v>
      </c>
      <c r="L126" s="36">
        <f>VLOOKUP($F126,'Packaging Cost'!$A$1:$F$43,6,FALSE)</f>
        <v>2.35</v>
      </c>
      <c r="M126" s="37">
        <f>IF($E126="Snakpak",(($J126*H126)+($K126*'Labor Cost'!$A$2)+L126)+2.25,($J126*H126)+($K126*'Labor Cost'!$A$2)+L126+1)</f>
        <v>14.225</v>
      </c>
      <c r="N126" s="38">
        <f t="shared" si="34"/>
        <v>17.78125</v>
      </c>
      <c r="O126" s="38">
        <f t="shared" si="35"/>
        <v>18.4925</v>
      </c>
      <c r="P126" s="38">
        <f t="shared" si="36"/>
        <v>19.203749999999999</v>
      </c>
      <c r="Q126" s="38">
        <f t="shared" si="37"/>
        <v>19.914999999999999</v>
      </c>
      <c r="R126" s="38">
        <f t="shared" si="38"/>
        <v>20.626249999999999</v>
      </c>
      <c r="S126" s="38">
        <f t="shared" si="39"/>
        <v>17.75</v>
      </c>
      <c r="T126" s="38">
        <f t="shared" si="40"/>
        <v>18.5</v>
      </c>
      <c r="U126" s="38">
        <f t="shared" si="41"/>
        <v>19.25</v>
      </c>
      <c r="V126" s="38">
        <f t="shared" si="42"/>
        <v>20</v>
      </c>
      <c r="W126" s="38">
        <f t="shared" si="43"/>
        <v>20.75</v>
      </c>
    </row>
    <row r="127" spans="1:23" ht="21" customHeight="1" x14ac:dyDescent="0.2">
      <c r="A127" s="19" t="s">
        <v>120</v>
      </c>
      <c r="B127" s="19" t="s">
        <v>278</v>
      </c>
      <c r="C127" s="20" t="s">
        <v>40</v>
      </c>
      <c r="D127" s="20" t="s">
        <v>384</v>
      </c>
      <c r="E127" s="20" t="s">
        <v>388</v>
      </c>
      <c r="F127" s="20" t="s">
        <v>622</v>
      </c>
      <c r="G127" s="33">
        <v>40</v>
      </c>
      <c r="H127" s="34">
        <f>VLOOKUP($C127,'Raw Cost'!$A$1:$B$484,2,FALSE)/G127</f>
        <v>0.5</v>
      </c>
      <c r="I127" s="34">
        <f t="shared" si="33"/>
        <v>3.125E-2</v>
      </c>
      <c r="J127" s="35">
        <v>20</v>
      </c>
      <c r="K127" s="35">
        <v>0.25</v>
      </c>
      <c r="L127" s="36">
        <f>VLOOKUP($F127,'Packaging Cost'!$A$1:$F$43,6,FALSE)</f>
        <v>1.85</v>
      </c>
      <c r="M127" s="37">
        <f>IF($E127="Snakpak",(($J127*H127)+($K127*'Labor Cost'!$A$2)+L127)+2.25,($J127*H127)+($K127*'Labor Cost'!$A$2)+L127+1)</f>
        <v>18.725000000000001</v>
      </c>
      <c r="N127" s="38">
        <f t="shared" si="34"/>
        <v>23.40625</v>
      </c>
      <c r="O127" s="38">
        <f t="shared" si="35"/>
        <v>24.342500000000001</v>
      </c>
      <c r="P127" s="38">
        <f t="shared" si="36"/>
        <v>25.278750000000002</v>
      </c>
      <c r="Q127" s="38">
        <f t="shared" si="37"/>
        <v>26.215</v>
      </c>
      <c r="R127" s="38">
        <f t="shared" si="38"/>
        <v>27.151250000000001</v>
      </c>
      <c r="S127" s="38">
        <f t="shared" si="39"/>
        <v>23.5</v>
      </c>
      <c r="T127" s="38">
        <f t="shared" si="40"/>
        <v>24.25</v>
      </c>
      <c r="U127" s="38">
        <f t="shared" si="41"/>
        <v>25.25</v>
      </c>
      <c r="V127" s="38">
        <f t="shared" si="42"/>
        <v>26.25</v>
      </c>
      <c r="W127" s="38">
        <f t="shared" si="43"/>
        <v>27.25</v>
      </c>
    </row>
    <row r="128" spans="1:23" ht="21" customHeight="1" x14ac:dyDescent="0.2">
      <c r="A128" s="19" t="s">
        <v>123</v>
      </c>
      <c r="B128" s="19" t="s">
        <v>281</v>
      </c>
      <c r="C128" s="20" t="s">
        <v>40</v>
      </c>
      <c r="D128" s="20" t="s">
        <v>384</v>
      </c>
      <c r="E128" s="20" t="s">
        <v>388</v>
      </c>
      <c r="F128" s="20" t="s">
        <v>622</v>
      </c>
      <c r="G128" s="33">
        <v>45</v>
      </c>
      <c r="H128" s="34">
        <f>VLOOKUP($C128,'Raw Cost'!$A$1:$B$484,2,FALSE)/G128</f>
        <v>0.44444444444444442</v>
      </c>
      <c r="I128" s="34">
        <f t="shared" si="33"/>
        <v>2.7777777777777776E-2</v>
      </c>
      <c r="J128" s="35">
        <v>20</v>
      </c>
      <c r="K128" s="35">
        <v>0.25</v>
      </c>
      <c r="L128" s="36">
        <f>VLOOKUP($F128,'Packaging Cost'!$A$1:$F$43,6,FALSE)</f>
        <v>1.85</v>
      </c>
      <c r="M128" s="37">
        <f>IF($E128="Snakpak",(($J128*H128)+($K128*'Labor Cost'!$A$2)+L128)+2.25,($J128*H128)+($K128*'Labor Cost'!$A$2)+L128+1)</f>
        <v>17.613888888888891</v>
      </c>
      <c r="N128" s="38">
        <f t="shared" si="34"/>
        <v>22.017361111111114</v>
      </c>
      <c r="O128" s="38">
        <f t="shared" si="35"/>
        <v>22.898055555555558</v>
      </c>
      <c r="P128" s="38">
        <f t="shared" si="36"/>
        <v>23.778750000000002</v>
      </c>
      <c r="Q128" s="38">
        <f t="shared" si="37"/>
        <v>24.659444444444446</v>
      </c>
      <c r="R128" s="38">
        <f t="shared" si="38"/>
        <v>25.54013888888889</v>
      </c>
      <c r="S128" s="38">
        <f t="shared" si="39"/>
        <v>22</v>
      </c>
      <c r="T128" s="38">
        <f t="shared" si="40"/>
        <v>23</v>
      </c>
      <c r="U128" s="38">
        <f t="shared" si="41"/>
        <v>23.75</v>
      </c>
      <c r="V128" s="38">
        <f t="shared" si="42"/>
        <v>24.75</v>
      </c>
      <c r="W128" s="38">
        <f t="shared" si="43"/>
        <v>25.5</v>
      </c>
    </row>
    <row r="129" spans="1:23" ht="21" customHeight="1" x14ac:dyDescent="0.2">
      <c r="A129" s="19" t="s">
        <v>96</v>
      </c>
      <c r="B129" s="19" t="s">
        <v>282</v>
      </c>
      <c r="C129" s="20" t="s">
        <v>40</v>
      </c>
      <c r="D129" s="20" t="s">
        <v>384</v>
      </c>
      <c r="E129" s="20" t="s">
        <v>388</v>
      </c>
      <c r="F129" s="20" t="s">
        <v>622</v>
      </c>
      <c r="G129" s="33">
        <v>40</v>
      </c>
      <c r="H129" s="34">
        <f>VLOOKUP($C129,'Raw Cost'!$A$1:$B$484,2,FALSE)/G129</f>
        <v>0.5</v>
      </c>
      <c r="I129" s="34">
        <f t="shared" si="33"/>
        <v>3.125E-2</v>
      </c>
      <c r="J129" s="35">
        <v>20</v>
      </c>
      <c r="K129" s="35">
        <v>0.25</v>
      </c>
      <c r="L129" s="36">
        <f>VLOOKUP($F129,'Packaging Cost'!$A$1:$F$43,6,FALSE)</f>
        <v>1.85</v>
      </c>
      <c r="M129" s="37">
        <f>IF($E129="Snakpak",(($J129*H129)+($K129*'Labor Cost'!$A$2)+L129)+2.25,($J129*H129)+($K129*'Labor Cost'!$A$2)+L129+1)</f>
        <v>18.725000000000001</v>
      </c>
      <c r="N129" s="38">
        <f t="shared" si="34"/>
        <v>23.40625</v>
      </c>
      <c r="O129" s="38">
        <f t="shared" si="35"/>
        <v>24.342500000000001</v>
      </c>
      <c r="P129" s="38">
        <f t="shared" si="36"/>
        <v>25.278750000000002</v>
      </c>
      <c r="Q129" s="38">
        <f t="shared" si="37"/>
        <v>26.215</v>
      </c>
      <c r="R129" s="38">
        <f t="shared" si="38"/>
        <v>27.151250000000001</v>
      </c>
      <c r="S129" s="38">
        <f t="shared" si="39"/>
        <v>23.5</v>
      </c>
      <c r="T129" s="38">
        <f t="shared" si="40"/>
        <v>24.25</v>
      </c>
      <c r="U129" s="38">
        <f t="shared" si="41"/>
        <v>25.25</v>
      </c>
      <c r="V129" s="38">
        <f t="shared" si="42"/>
        <v>26.25</v>
      </c>
      <c r="W129" s="38">
        <f t="shared" si="43"/>
        <v>27.25</v>
      </c>
    </row>
    <row r="130" spans="1:23" ht="21" customHeight="1" x14ac:dyDescent="0.2">
      <c r="A130" s="19" t="s">
        <v>124</v>
      </c>
      <c r="B130" s="19" t="s">
        <v>284</v>
      </c>
      <c r="C130" s="32" t="s">
        <v>597</v>
      </c>
      <c r="D130" s="32" t="s">
        <v>384</v>
      </c>
      <c r="E130" s="20" t="s">
        <v>388</v>
      </c>
      <c r="F130" s="20" t="s">
        <v>621</v>
      </c>
      <c r="G130" s="33">
        <v>40</v>
      </c>
      <c r="H130" s="34">
        <f>VLOOKUP($C130,'Raw Cost'!$A$1:$B$484,2,FALSE)/G130</f>
        <v>0.55000000000000004</v>
      </c>
      <c r="I130" s="34">
        <f t="shared" ref="I130:I161" si="44">H130/16</f>
        <v>3.4375000000000003E-2</v>
      </c>
      <c r="J130" s="35">
        <v>10</v>
      </c>
      <c r="K130" s="35">
        <v>0.25</v>
      </c>
      <c r="L130" s="36">
        <f>VLOOKUP($F130,'Packaging Cost'!$A$1:$F$43,6,FALSE)</f>
        <v>2.35</v>
      </c>
      <c r="M130" s="37">
        <f>IF($E130="Snakpak",(($J130*H130)+($K130*'Labor Cost'!$A$2)+L130)+2.25,($J130*H130)+($K130*'Labor Cost'!$A$2)+L130+1)</f>
        <v>14.725</v>
      </c>
      <c r="N130" s="38">
        <f t="shared" ref="N130:N161" si="45">IF($D130="No",$M130*1.25,($M130*1.25)+15)</f>
        <v>18.40625</v>
      </c>
      <c r="O130" s="38">
        <f t="shared" ref="O130:O161" si="46">IF($D130="No",$M130*1.3,($M130*1.3)+15)</f>
        <v>19.142500000000002</v>
      </c>
      <c r="P130" s="38">
        <f t="shared" ref="P130:P161" si="47">IF($D130="No",$M130*1.35,($M130*1.35)+15)</f>
        <v>19.87875</v>
      </c>
      <c r="Q130" s="38">
        <f t="shared" ref="Q130:Q161" si="48">IF($D130="No",$M130*1.4,($M130*1.4)+15)</f>
        <v>20.614999999999998</v>
      </c>
      <c r="R130" s="38">
        <f t="shared" ref="R130:R161" si="49">IF($D130="No",$M130*1.45,($M130*1.45)+15)</f>
        <v>21.35125</v>
      </c>
      <c r="S130" s="38">
        <f t="shared" ref="S130:S161" si="50">MROUND(N130,0.25)</f>
        <v>18.5</v>
      </c>
      <c r="T130" s="38">
        <f t="shared" ref="T130:T161" si="51">MROUND(O130,0.25)</f>
        <v>19.25</v>
      </c>
      <c r="U130" s="38">
        <f t="shared" ref="U130:U161" si="52">MROUND(P130,0.25)</f>
        <v>20</v>
      </c>
      <c r="V130" s="38">
        <f t="shared" ref="V130:V161" si="53">MROUND(Q130,0.25)</f>
        <v>20.5</v>
      </c>
      <c r="W130" s="38">
        <f t="shared" ref="W130:W161" si="54">MROUND(R130,0.25)</f>
        <v>21.25</v>
      </c>
    </row>
    <row r="131" spans="1:23" ht="21" customHeight="1" x14ac:dyDescent="0.2">
      <c r="A131" s="19" t="s">
        <v>126</v>
      </c>
      <c r="B131" s="19" t="s">
        <v>286</v>
      </c>
      <c r="C131" s="20" t="s">
        <v>40</v>
      </c>
      <c r="D131" s="20" t="s">
        <v>384</v>
      </c>
      <c r="E131" s="20" t="s">
        <v>388</v>
      </c>
      <c r="F131" s="20" t="s">
        <v>621</v>
      </c>
      <c r="G131" s="33">
        <v>40</v>
      </c>
      <c r="H131" s="34">
        <f>VLOOKUP($C131,'Raw Cost'!$A$1:$B$484,2,FALSE)/G131</f>
        <v>0.5</v>
      </c>
      <c r="I131" s="34">
        <f t="shared" si="44"/>
        <v>3.125E-2</v>
      </c>
      <c r="J131" s="35">
        <v>10</v>
      </c>
      <c r="K131" s="35">
        <v>0.25</v>
      </c>
      <c r="L131" s="36">
        <f>VLOOKUP($F131,'Packaging Cost'!$A$1:$F$43,6,FALSE)</f>
        <v>2.35</v>
      </c>
      <c r="M131" s="37">
        <f>IF($E131="Snakpak",(($J131*H131)+($K131*'Labor Cost'!$A$2)+L131)+2.25,($J131*H131)+($K131*'Labor Cost'!$A$2)+L131+1)</f>
        <v>14.225</v>
      </c>
      <c r="N131" s="38">
        <f t="shared" si="45"/>
        <v>17.78125</v>
      </c>
      <c r="O131" s="38">
        <f t="shared" si="46"/>
        <v>18.4925</v>
      </c>
      <c r="P131" s="38">
        <f t="shared" si="47"/>
        <v>19.203749999999999</v>
      </c>
      <c r="Q131" s="38">
        <f t="shared" si="48"/>
        <v>19.914999999999999</v>
      </c>
      <c r="R131" s="38">
        <f t="shared" si="49"/>
        <v>20.626249999999999</v>
      </c>
      <c r="S131" s="38">
        <f t="shared" si="50"/>
        <v>17.75</v>
      </c>
      <c r="T131" s="38">
        <f t="shared" si="51"/>
        <v>18.5</v>
      </c>
      <c r="U131" s="38">
        <f t="shared" si="52"/>
        <v>19.25</v>
      </c>
      <c r="V131" s="38">
        <f t="shared" si="53"/>
        <v>20</v>
      </c>
      <c r="W131" s="38">
        <f t="shared" si="54"/>
        <v>20.75</v>
      </c>
    </row>
    <row r="132" spans="1:23" ht="21" customHeight="1" x14ac:dyDescent="0.2">
      <c r="A132" s="19" t="s">
        <v>125</v>
      </c>
      <c r="B132" s="19" t="s">
        <v>285</v>
      </c>
      <c r="C132" s="20" t="s">
        <v>40</v>
      </c>
      <c r="D132" s="20" t="s">
        <v>384</v>
      </c>
      <c r="E132" s="20" t="s">
        <v>388</v>
      </c>
      <c r="F132" s="20" t="s">
        <v>622</v>
      </c>
      <c r="G132" s="33">
        <v>40</v>
      </c>
      <c r="H132" s="34">
        <f>VLOOKUP($C132,'Raw Cost'!$A$1:$B$484,2,FALSE)/G132</f>
        <v>0.5</v>
      </c>
      <c r="I132" s="34">
        <f t="shared" si="44"/>
        <v>3.125E-2</v>
      </c>
      <c r="J132" s="35">
        <v>20</v>
      </c>
      <c r="K132" s="35">
        <v>0.25</v>
      </c>
      <c r="L132" s="36">
        <f>VLOOKUP($F132,'Packaging Cost'!$A$1:$F$43,6,FALSE)</f>
        <v>1.85</v>
      </c>
      <c r="M132" s="37">
        <f>IF($E132="Snakpak",(($J132*H132)+($K132*'Labor Cost'!$A$2)+L132)+2.25,($J132*H132)+($K132*'Labor Cost'!$A$2)+L132+1)</f>
        <v>18.725000000000001</v>
      </c>
      <c r="N132" s="38">
        <f t="shared" si="45"/>
        <v>23.40625</v>
      </c>
      <c r="O132" s="38">
        <f t="shared" si="46"/>
        <v>24.342500000000001</v>
      </c>
      <c r="P132" s="38">
        <f t="shared" si="47"/>
        <v>25.278750000000002</v>
      </c>
      <c r="Q132" s="38">
        <f t="shared" si="48"/>
        <v>26.215</v>
      </c>
      <c r="R132" s="38">
        <f t="shared" si="49"/>
        <v>27.151250000000001</v>
      </c>
      <c r="S132" s="38">
        <f t="shared" si="50"/>
        <v>23.5</v>
      </c>
      <c r="T132" s="38">
        <f t="shared" si="51"/>
        <v>24.25</v>
      </c>
      <c r="U132" s="38">
        <f t="shared" si="52"/>
        <v>25.25</v>
      </c>
      <c r="V132" s="38">
        <f t="shared" si="53"/>
        <v>26.25</v>
      </c>
      <c r="W132" s="38">
        <f t="shared" si="54"/>
        <v>27.25</v>
      </c>
    </row>
    <row r="133" spans="1:23" ht="21" customHeight="1" x14ac:dyDescent="0.2">
      <c r="A133" s="19" t="s">
        <v>128</v>
      </c>
      <c r="B133" s="19" t="s">
        <v>289</v>
      </c>
      <c r="C133" s="20" t="s">
        <v>40</v>
      </c>
      <c r="D133" s="20" t="s">
        <v>384</v>
      </c>
      <c r="E133" s="20" t="s">
        <v>388</v>
      </c>
      <c r="F133" s="20" t="s">
        <v>621</v>
      </c>
      <c r="G133" s="33">
        <v>40</v>
      </c>
      <c r="H133" s="34">
        <f>VLOOKUP($C133,'Raw Cost'!$A$1:$B$484,2,FALSE)/G133</f>
        <v>0.5</v>
      </c>
      <c r="I133" s="34">
        <f t="shared" si="44"/>
        <v>3.125E-2</v>
      </c>
      <c r="J133" s="35">
        <v>10</v>
      </c>
      <c r="K133" s="35">
        <v>0.25</v>
      </c>
      <c r="L133" s="36">
        <f>VLOOKUP($F133,'Packaging Cost'!$A$1:$F$43,6,FALSE)</f>
        <v>2.35</v>
      </c>
      <c r="M133" s="37">
        <f>IF($E133="Snakpak",(($J133*H133)+($K133*'Labor Cost'!$A$2)+L133)+2.25,($J133*H133)+($K133*'Labor Cost'!$A$2)+L133+1)</f>
        <v>14.225</v>
      </c>
      <c r="N133" s="38">
        <f t="shared" si="45"/>
        <v>17.78125</v>
      </c>
      <c r="O133" s="38">
        <f t="shared" si="46"/>
        <v>18.4925</v>
      </c>
      <c r="P133" s="38">
        <f t="shared" si="47"/>
        <v>19.203749999999999</v>
      </c>
      <c r="Q133" s="38">
        <f t="shared" si="48"/>
        <v>19.914999999999999</v>
      </c>
      <c r="R133" s="38">
        <f t="shared" si="49"/>
        <v>20.626249999999999</v>
      </c>
      <c r="S133" s="38">
        <f t="shared" si="50"/>
        <v>17.75</v>
      </c>
      <c r="T133" s="38">
        <f t="shared" si="51"/>
        <v>18.5</v>
      </c>
      <c r="U133" s="38">
        <f t="shared" si="52"/>
        <v>19.25</v>
      </c>
      <c r="V133" s="38">
        <f t="shared" si="53"/>
        <v>20</v>
      </c>
      <c r="W133" s="38">
        <f t="shared" si="54"/>
        <v>20.75</v>
      </c>
    </row>
    <row r="134" spans="1:23" ht="21" customHeight="1" x14ac:dyDescent="0.2">
      <c r="A134" s="19" t="s">
        <v>108</v>
      </c>
      <c r="B134" s="19" t="s">
        <v>288</v>
      </c>
      <c r="C134" s="20" t="s">
        <v>597</v>
      </c>
      <c r="D134" s="20" t="s">
        <v>384</v>
      </c>
      <c r="E134" s="20" t="s">
        <v>388</v>
      </c>
      <c r="F134" s="20" t="s">
        <v>622</v>
      </c>
      <c r="G134" s="33">
        <v>40</v>
      </c>
      <c r="H134" s="34">
        <f>VLOOKUP($C134,'Raw Cost'!$A$1:$B$484,2,FALSE)/G134</f>
        <v>0.55000000000000004</v>
      </c>
      <c r="I134" s="34">
        <f t="shared" si="44"/>
        <v>3.4375000000000003E-2</v>
      </c>
      <c r="J134" s="35">
        <v>20</v>
      </c>
      <c r="K134" s="35">
        <v>0.25</v>
      </c>
      <c r="L134" s="36">
        <f>VLOOKUP($F134,'Packaging Cost'!$A$1:$F$43,6,FALSE)</f>
        <v>1.85</v>
      </c>
      <c r="M134" s="37">
        <f>IF($E134="Snakpak",(($J134*H134)+($K134*'Labor Cost'!$A$2)+L134)+2.25,($J134*H134)+($K134*'Labor Cost'!$A$2)+L134+1)</f>
        <v>19.725000000000001</v>
      </c>
      <c r="N134" s="38">
        <f t="shared" si="45"/>
        <v>24.65625</v>
      </c>
      <c r="O134" s="38">
        <f t="shared" si="46"/>
        <v>25.642500000000002</v>
      </c>
      <c r="P134" s="38">
        <f t="shared" si="47"/>
        <v>26.628750000000004</v>
      </c>
      <c r="Q134" s="38">
        <f t="shared" si="48"/>
        <v>27.615000000000002</v>
      </c>
      <c r="R134" s="38">
        <f t="shared" si="49"/>
        <v>28.60125</v>
      </c>
      <c r="S134" s="38">
        <f t="shared" si="50"/>
        <v>24.75</v>
      </c>
      <c r="T134" s="38">
        <f t="shared" si="51"/>
        <v>25.75</v>
      </c>
      <c r="U134" s="38">
        <f t="shared" si="52"/>
        <v>26.75</v>
      </c>
      <c r="V134" s="38">
        <f t="shared" si="53"/>
        <v>27.5</v>
      </c>
      <c r="W134" s="38">
        <f t="shared" si="54"/>
        <v>28.5</v>
      </c>
    </row>
    <row r="135" spans="1:23" ht="21" customHeight="1" x14ac:dyDescent="0.2">
      <c r="A135" s="19" t="s">
        <v>1021</v>
      </c>
      <c r="B135" s="19" t="s">
        <v>295</v>
      </c>
      <c r="C135" s="20" t="s">
        <v>48</v>
      </c>
      <c r="D135" s="20" t="s">
        <v>384</v>
      </c>
      <c r="E135" s="20" t="s">
        <v>388</v>
      </c>
      <c r="F135" s="20" t="s">
        <v>369</v>
      </c>
      <c r="G135" s="33">
        <v>38</v>
      </c>
      <c r="H135" s="34">
        <f>VLOOKUP($C135,'Raw Cost'!$A$1:$B$484,2,FALSE)/G135</f>
        <v>0.89473684210526316</v>
      </c>
      <c r="I135" s="34">
        <f t="shared" si="44"/>
        <v>5.5921052631578948E-2</v>
      </c>
      <c r="J135" s="35">
        <v>10</v>
      </c>
      <c r="K135" s="35">
        <v>0.25</v>
      </c>
      <c r="L135" s="36">
        <f>VLOOKUP($F135,'Packaging Cost'!$A$1:$F$43,6,FALSE)</f>
        <v>1.23</v>
      </c>
      <c r="M135" s="37">
        <f>IF($E135="Snakpak",(($J135*H135)+($K135*'Labor Cost'!$A$2)+L135)+2.25,($J135*H135)+($K135*'Labor Cost'!$A$2)+L135+1)</f>
        <v>17.052368421052631</v>
      </c>
      <c r="N135" s="38">
        <f t="shared" si="45"/>
        <v>21.315460526315789</v>
      </c>
      <c r="O135" s="38">
        <f t="shared" si="46"/>
        <v>22.168078947368421</v>
      </c>
      <c r="P135" s="38">
        <f t="shared" si="47"/>
        <v>23.020697368421054</v>
      </c>
      <c r="Q135" s="38">
        <f t="shared" si="48"/>
        <v>23.873315789473683</v>
      </c>
      <c r="R135" s="38">
        <f t="shared" si="49"/>
        <v>24.725934210526315</v>
      </c>
      <c r="S135" s="38">
        <f t="shared" si="50"/>
        <v>21.25</v>
      </c>
      <c r="T135" s="38">
        <f t="shared" si="51"/>
        <v>22.25</v>
      </c>
      <c r="U135" s="38">
        <f t="shared" si="52"/>
        <v>23</v>
      </c>
      <c r="V135" s="38">
        <f t="shared" si="53"/>
        <v>23.75</v>
      </c>
      <c r="W135" s="38">
        <f t="shared" si="54"/>
        <v>24.75</v>
      </c>
    </row>
    <row r="136" spans="1:23" ht="21" customHeight="1" x14ac:dyDescent="0.2">
      <c r="A136" s="19" t="s">
        <v>1022</v>
      </c>
      <c r="B136" s="19" t="s">
        <v>296</v>
      </c>
      <c r="C136" s="20" t="s">
        <v>48</v>
      </c>
      <c r="D136" s="20" t="s">
        <v>384</v>
      </c>
      <c r="E136" s="20" t="s">
        <v>388</v>
      </c>
      <c r="F136" s="20" t="s">
        <v>369</v>
      </c>
      <c r="G136" s="33">
        <v>38</v>
      </c>
      <c r="H136" s="34">
        <f>VLOOKUP($C136,'Raw Cost'!$A$1:$B$484,2,FALSE)/G136</f>
        <v>0.89473684210526316</v>
      </c>
      <c r="I136" s="34">
        <f t="shared" si="44"/>
        <v>5.5921052631578948E-2</v>
      </c>
      <c r="J136" s="35">
        <v>10</v>
      </c>
      <c r="K136" s="35">
        <v>0.25</v>
      </c>
      <c r="L136" s="36">
        <f>VLOOKUP($F136,'Packaging Cost'!$A$1:$F$43,6,FALSE)</f>
        <v>1.23</v>
      </c>
      <c r="M136" s="37">
        <f>IF($E136="Snakpak",(($J136*H136)+($K136*'Labor Cost'!$A$2)+L136)+2.25,($J136*H136)+($K136*'Labor Cost'!$A$2)+L136+1)</f>
        <v>17.052368421052631</v>
      </c>
      <c r="N136" s="38">
        <f t="shared" si="45"/>
        <v>21.315460526315789</v>
      </c>
      <c r="O136" s="38">
        <f t="shared" si="46"/>
        <v>22.168078947368421</v>
      </c>
      <c r="P136" s="38">
        <f t="shared" si="47"/>
        <v>23.020697368421054</v>
      </c>
      <c r="Q136" s="38">
        <f t="shared" si="48"/>
        <v>23.873315789473683</v>
      </c>
      <c r="R136" s="38">
        <f t="shared" si="49"/>
        <v>24.725934210526315</v>
      </c>
      <c r="S136" s="38">
        <f t="shared" si="50"/>
        <v>21.25</v>
      </c>
      <c r="T136" s="38">
        <f t="shared" si="51"/>
        <v>22.25</v>
      </c>
      <c r="U136" s="38">
        <f t="shared" si="52"/>
        <v>23</v>
      </c>
      <c r="V136" s="38">
        <f t="shared" si="53"/>
        <v>23.75</v>
      </c>
      <c r="W136" s="38">
        <f t="shared" si="54"/>
        <v>24.75</v>
      </c>
    </row>
    <row r="137" spans="1:23" ht="21" customHeight="1" x14ac:dyDescent="0.2">
      <c r="A137" s="19" t="s">
        <v>134</v>
      </c>
      <c r="B137" s="19" t="s">
        <v>298</v>
      </c>
      <c r="C137" s="20" t="s">
        <v>41</v>
      </c>
      <c r="D137" s="20" t="s">
        <v>384</v>
      </c>
      <c r="E137" s="20" t="s">
        <v>388</v>
      </c>
      <c r="F137" s="20" t="s">
        <v>621</v>
      </c>
      <c r="G137" s="33">
        <v>40</v>
      </c>
      <c r="H137" s="34">
        <f>VLOOKUP($C137,'Raw Cost'!$A$1:$B$484,2,FALSE)/G137</f>
        <v>0.45</v>
      </c>
      <c r="I137" s="34">
        <f t="shared" si="44"/>
        <v>2.8125000000000001E-2</v>
      </c>
      <c r="J137" s="35">
        <v>10</v>
      </c>
      <c r="K137" s="35">
        <v>0.25</v>
      </c>
      <c r="L137" s="36">
        <f>VLOOKUP($F137,'Packaging Cost'!$A$1:$F$43,6,FALSE)</f>
        <v>2.35</v>
      </c>
      <c r="M137" s="37">
        <f>IF($E137="Snakpak",(($J137*H137)+($K137*'Labor Cost'!$A$2)+L137)+2.25,($J137*H137)+($K137*'Labor Cost'!$A$2)+L137+1)</f>
        <v>13.725</v>
      </c>
      <c r="N137" s="38">
        <f t="shared" si="45"/>
        <v>17.15625</v>
      </c>
      <c r="O137" s="38">
        <f t="shared" si="46"/>
        <v>17.842500000000001</v>
      </c>
      <c r="P137" s="38">
        <f t="shared" si="47"/>
        <v>18.528750000000002</v>
      </c>
      <c r="Q137" s="38">
        <f t="shared" si="48"/>
        <v>19.215</v>
      </c>
      <c r="R137" s="38">
        <f t="shared" si="49"/>
        <v>19.901249999999997</v>
      </c>
      <c r="S137" s="38">
        <f t="shared" si="50"/>
        <v>17.25</v>
      </c>
      <c r="T137" s="38">
        <f t="shared" si="51"/>
        <v>17.75</v>
      </c>
      <c r="U137" s="38">
        <f t="shared" si="52"/>
        <v>18.5</v>
      </c>
      <c r="V137" s="38">
        <f t="shared" si="53"/>
        <v>19.25</v>
      </c>
      <c r="W137" s="38">
        <f t="shared" si="54"/>
        <v>20</v>
      </c>
    </row>
    <row r="138" spans="1:23" ht="21" customHeight="1" x14ac:dyDescent="0.2">
      <c r="A138" s="19" t="s">
        <v>98</v>
      </c>
      <c r="B138" s="19" t="s">
        <v>297</v>
      </c>
      <c r="C138" s="20" t="s">
        <v>41</v>
      </c>
      <c r="D138" s="20" t="s">
        <v>384</v>
      </c>
      <c r="E138" s="20" t="s">
        <v>388</v>
      </c>
      <c r="F138" s="20" t="s">
        <v>622</v>
      </c>
      <c r="G138" s="33">
        <v>40</v>
      </c>
      <c r="H138" s="34">
        <f>VLOOKUP($C138,'Raw Cost'!$A$1:$B$484,2,FALSE)/G138</f>
        <v>0.45</v>
      </c>
      <c r="I138" s="34">
        <f t="shared" si="44"/>
        <v>2.8125000000000001E-2</v>
      </c>
      <c r="J138" s="35">
        <v>20</v>
      </c>
      <c r="K138" s="35">
        <v>0.25</v>
      </c>
      <c r="L138" s="36">
        <f>VLOOKUP($F138,'Packaging Cost'!$A$1:$F$43,6,FALSE)</f>
        <v>1.85</v>
      </c>
      <c r="M138" s="37">
        <f>IF($E138="Snakpak",(($J138*H138)+($K138*'Labor Cost'!$A$2)+L138)+2.25,($J138*H138)+($K138*'Labor Cost'!$A$2)+L138+1)</f>
        <v>17.725000000000001</v>
      </c>
      <c r="N138" s="38">
        <f t="shared" si="45"/>
        <v>22.15625</v>
      </c>
      <c r="O138" s="38">
        <f t="shared" si="46"/>
        <v>23.042500000000004</v>
      </c>
      <c r="P138" s="38">
        <f t="shared" si="47"/>
        <v>23.928750000000004</v>
      </c>
      <c r="Q138" s="38">
        <f t="shared" si="48"/>
        <v>24.815000000000001</v>
      </c>
      <c r="R138" s="38">
        <f t="shared" si="49"/>
        <v>25.701250000000002</v>
      </c>
      <c r="S138" s="38">
        <f t="shared" si="50"/>
        <v>22.25</v>
      </c>
      <c r="T138" s="38">
        <f t="shared" si="51"/>
        <v>23</v>
      </c>
      <c r="U138" s="38">
        <f t="shared" si="52"/>
        <v>24</v>
      </c>
      <c r="V138" s="38">
        <f t="shared" si="53"/>
        <v>24.75</v>
      </c>
      <c r="W138" s="38">
        <f t="shared" si="54"/>
        <v>25.75</v>
      </c>
    </row>
    <row r="139" spans="1:23" ht="21" customHeight="1" x14ac:dyDescent="0.2">
      <c r="A139" s="19" t="s">
        <v>141</v>
      </c>
      <c r="B139" s="19" t="s">
        <v>309</v>
      </c>
      <c r="C139" s="20" t="s">
        <v>52</v>
      </c>
      <c r="D139" s="20" t="s">
        <v>384</v>
      </c>
      <c r="E139" s="20" t="s">
        <v>388</v>
      </c>
      <c r="F139" s="20" t="s">
        <v>369</v>
      </c>
      <c r="G139" s="33">
        <v>30</v>
      </c>
      <c r="H139" s="34">
        <f>VLOOKUP($C139,'Raw Cost'!$A$1:$B$484,2,FALSE)/G139</f>
        <v>0.8666666666666667</v>
      </c>
      <c r="I139" s="34">
        <f t="shared" si="44"/>
        <v>5.4166666666666669E-2</v>
      </c>
      <c r="J139" s="35">
        <v>12</v>
      </c>
      <c r="K139" s="35">
        <v>0.25</v>
      </c>
      <c r="L139" s="36">
        <f>VLOOKUP($F139,'Packaging Cost'!$A$1:$F$43,6,FALSE)</f>
        <v>1.23</v>
      </c>
      <c r="M139" s="37">
        <f>IF($E139="Snakpak",(($J139*H139)+($K139*'Labor Cost'!$A$2)+L139)+2.25,($J139*H139)+($K139*'Labor Cost'!$A$2)+L139+1)</f>
        <v>18.504999999999999</v>
      </c>
      <c r="N139" s="38">
        <f t="shared" si="45"/>
        <v>23.131249999999998</v>
      </c>
      <c r="O139" s="38">
        <f t="shared" si="46"/>
        <v>24.0565</v>
      </c>
      <c r="P139" s="38">
        <f t="shared" si="47"/>
        <v>24.981750000000002</v>
      </c>
      <c r="Q139" s="38">
        <f t="shared" si="48"/>
        <v>25.906999999999996</v>
      </c>
      <c r="R139" s="38">
        <f t="shared" si="49"/>
        <v>26.832249999999998</v>
      </c>
      <c r="S139" s="38">
        <f t="shared" si="50"/>
        <v>23.25</v>
      </c>
      <c r="T139" s="38">
        <f t="shared" si="51"/>
        <v>24</v>
      </c>
      <c r="U139" s="38">
        <f t="shared" si="52"/>
        <v>25</v>
      </c>
      <c r="V139" s="38">
        <f t="shared" si="53"/>
        <v>26</v>
      </c>
      <c r="W139" s="38">
        <f t="shared" si="54"/>
        <v>26.75</v>
      </c>
    </row>
    <row r="140" spans="1:23" ht="21" customHeight="1" x14ac:dyDescent="0.2">
      <c r="A140" s="19" t="s">
        <v>140</v>
      </c>
      <c r="B140" s="19" t="s">
        <v>308</v>
      </c>
      <c r="C140" s="20" t="s">
        <v>49</v>
      </c>
      <c r="D140" s="20" t="s">
        <v>384</v>
      </c>
      <c r="E140" s="20" t="s">
        <v>388</v>
      </c>
      <c r="F140" s="20" t="s">
        <v>369</v>
      </c>
      <c r="G140" s="33">
        <v>35</v>
      </c>
      <c r="H140" s="34">
        <f>VLOOKUP($C140,'Raw Cost'!$A$1:$B$484,2,FALSE)/G140</f>
        <v>0.8571428571428571</v>
      </c>
      <c r="I140" s="34">
        <f t="shared" si="44"/>
        <v>5.3571428571428568E-2</v>
      </c>
      <c r="J140" s="35">
        <v>20</v>
      </c>
      <c r="K140" s="35">
        <v>0.25</v>
      </c>
      <c r="L140" s="36">
        <f>VLOOKUP($F140,'Packaging Cost'!$A$1:$F$43,6,FALSE)</f>
        <v>1.23</v>
      </c>
      <c r="M140" s="37">
        <f>IF($E140="Snakpak",(($J140*H140)+($K140*'Labor Cost'!$A$2)+L140)+2.25,($J140*H140)+($K140*'Labor Cost'!$A$2)+L140+1)</f>
        <v>25.247857142857143</v>
      </c>
      <c r="N140" s="38">
        <f t="shared" si="45"/>
        <v>31.559821428571428</v>
      </c>
      <c r="O140" s="38">
        <f t="shared" si="46"/>
        <v>32.822214285714288</v>
      </c>
      <c r="P140" s="38">
        <f t="shared" si="47"/>
        <v>34.084607142857145</v>
      </c>
      <c r="Q140" s="38">
        <f t="shared" si="48"/>
        <v>35.346999999999994</v>
      </c>
      <c r="R140" s="38">
        <f t="shared" si="49"/>
        <v>36.609392857142858</v>
      </c>
      <c r="S140" s="38">
        <f t="shared" si="50"/>
        <v>31.5</v>
      </c>
      <c r="T140" s="38">
        <f t="shared" si="51"/>
        <v>32.75</v>
      </c>
      <c r="U140" s="38">
        <f t="shared" si="52"/>
        <v>34</v>
      </c>
      <c r="V140" s="38">
        <f t="shared" si="53"/>
        <v>35.25</v>
      </c>
      <c r="W140" s="38">
        <f t="shared" si="54"/>
        <v>36.5</v>
      </c>
    </row>
    <row r="141" spans="1:23" ht="21" customHeight="1" x14ac:dyDescent="0.2">
      <c r="A141" s="19" t="s">
        <v>1055</v>
      </c>
      <c r="B141" s="19" t="s">
        <v>326</v>
      </c>
      <c r="C141" s="20" t="s">
        <v>579</v>
      </c>
      <c r="D141" s="20" t="s">
        <v>384</v>
      </c>
      <c r="E141" s="20" t="s">
        <v>388</v>
      </c>
      <c r="F141" s="20" t="s">
        <v>374</v>
      </c>
      <c r="G141" s="33">
        <v>10</v>
      </c>
      <c r="H141" s="34">
        <f>VLOOKUP($C141,'Raw Cost'!$A$1:$B$484,2,FALSE)/G141</f>
        <v>4.4000000000000004</v>
      </c>
      <c r="I141" s="34">
        <f t="shared" si="44"/>
        <v>0.27500000000000002</v>
      </c>
      <c r="J141" s="35">
        <v>10</v>
      </c>
      <c r="K141" s="35">
        <v>0.25</v>
      </c>
      <c r="L141" s="36">
        <f>VLOOKUP($F141,'Packaging Cost'!$A$1:$F$43,6,FALSE)</f>
        <v>0.9</v>
      </c>
      <c r="M141" s="37">
        <f>IF($E141="Snakpak",(($J141*H141)+($K141*'Labor Cost'!$A$2)+L141)+2.25,($J141*H141)+($K141*'Labor Cost'!$A$2)+L141+1)</f>
        <v>51.774999999999999</v>
      </c>
      <c r="N141" s="38">
        <f t="shared" si="45"/>
        <v>64.71875</v>
      </c>
      <c r="O141" s="38">
        <f t="shared" si="46"/>
        <v>67.307500000000005</v>
      </c>
      <c r="P141" s="38">
        <f t="shared" si="47"/>
        <v>69.896250000000009</v>
      </c>
      <c r="Q141" s="38">
        <f t="shared" si="48"/>
        <v>72.484999999999999</v>
      </c>
      <c r="R141" s="38">
        <f t="shared" si="49"/>
        <v>75.07374999999999</v>
      </c>
      <c r="S141" s="38">
        <f t="shared" si="50"/>
        <v>64.75</v>
      </c>
      <c r="T141" s="38">
        <f t="shared" si="51"/>
        <v>67.25</v>
      </c>
      <c r="U141" s="38">
        <f t="shared" si="52"/>
        <v>70</v>
      </c>
      <c r="V141" s="38">
        <f t="shared" si="53"/>
        <v>72.5</v>
      </c>
      <c r="W141" s="38">
        <f t="shared" si="54"/>
        <v>75</v>
      </c>
    </row>
    <row r="142" spans="1:23" ht="21" customHeight="1" x14ac:dyDescent="0.2">
      <c r="A142" s="19" t="s">
        <v>153</v>
      </c>
      <c r="B142" s="19" t="s">
        <v>326</v>
      </c>
      <c r="C142" s="20" t="s">
        <v>54</v>
      </c>
      <c r="D142" s="20" t="s">
        <v>384</v>
      </c>
      <c r="E142" s="20" t="s">
        <v>388</v>
      </c>
      <c r="F142" s="20" t="s">
        <v>374</v>
      </c>
      <c r="G142" s="33">
        <v>15</v>
      </c>
      <c r="H142" s="34">
        <f>VLOOKUP($C142,'Raw Cost'!$A$1:$B$484,2,FALSE)/G142</f>
        <v>1.0666666666666667</v>
      </c>
      <c r="I142" s="34">
        <f t="shared" si="44"/>
        <v>6.6666666666666666E-2</v>
      </c>
      <c r="J142" s="35">
        <v>10</v>
      </c>
      <c r="K142" s="35">
        <v>0.25</v>
      </c>
      <c r="L142" s="36">
        <f>VLOOKUP($F142,'Packaging Cost'!$A$1:$F$43,6,FALSE)</f>
        <v>0.9</v>
      </c>
      <c r="M142" s="37">
        <f>IF($E142="Snakpak",(($J142*H142)+($K142*'Labor Cost'!$A$2)+L142)+2.25,($J142*H142)+($K142*'Labor Cost'!$A$2)+L142+1)</f>
        <v>18.441666666666663</v>
      </c>
      <c r="N142" s="38">
        <f t="shared" si="45"/>
        <v>23.052083333333329</v>
      </c>
      <c r="O142" s="38">
        <f t="shared" si="46"/>
        <v>23.974166666666662</v>
      </c>
      <c r="P142" s="38">
        <f t="shared" si="47"/>
        <v>24.896249999999995</v>
      </c>
      <c r="Q142" s="38">
        <f t="shared" si="48"/>
        <v>25.818333333333328</v>
      </c>
      <c r="R142" s="38">
        <f t="shared" si="49"/>
        <v>26.740416666666661</v>
      </c>
      <c r="S142" s="38">
        <f t="shared" si="50"/>
        <v>23</v>
      </c>
      <c r="T142" s="38">
        <f t="shared" si="51"/>
        <v>24</v>
      </c>
      <c r="U142" s="38">
        <f t="shared" si="52"/>
        <v>25</v>
      </c>
      <c r="V142" s="38">
        <f t="shared" si="53"/>
        <v>25.75</v>
      </c>
      <c r="W142" s="38">
        <f t="shared" si="54"/>
        <v>26.75</v>
      </c>
    </row>
    <row r="143" spans="1:23" ht="21" customHeight="1" x14ac:dyDescent="0.2">
      <c r="A143" s="19" t="s">
        <v>60</v>
      </c>
      <c r="B143" s="19" t="s">
        <v>327</v>
      </c>
      <c r="C143" s="20" t="s">
        <v>54</v>
      </c>
      <c r="D143" s="20" t="s">
        <v>384</v>
      </c>
      <c r="E143" s="20" t="s">
        <v>388</v>
      </c>
      <c r="F143" s="20" t="s">
        <v>369</v>
      </c>
      <c r="G143" s="33">
        <v>32</v>
      </c>
      <c r="H143" s="34">
        <f>VLOOKUP($C143,'Raw Cost'!$A$1:$B$484,2,FALSE)/G143</f>
        <v>0.5</v>
      </c>
      <c r="I143" s="34">
        <f t="shared" si="44"/>
        <v>3.125E-2</v>
      </c>
      <c r="J143" s="35">
        <v>20</v>
      </c>
      <c r="K143" s="35">
        <v>0.25</v>
      </c>
      <c r="L143" s="36">
        <f>VLOOKUP($F143,'Packaging Cost'!$A$1:$F$43,6,FALSE)</f>
        <v>1.23</v>
      </c>
      <c r="M143" s="37">
        <f>IF($E143="Snakpak",(($J143*H143)+($K143*'Labor Cost'!$A$2)+L143)+2.25,($J143*H143)+($K143*'Labor Cost'!$A$2)+L143+1)</f>
        <v>18.105</v>
      </c>
      <c r="N143" s="38">
        <f t="shared" si="45"/>
        <v>22.631250000000001</v>
      </c>
      <c r="O143" s="38">
        <f t="shared" si="46"/>
        <v>23.5365</v>
      </c>
      <c r="P143" s="38">
        <f t="shared" si="47"/>
        <v>24.441750000000003</v>
      </c>
      <c r="Q143" s="38">
        <f t="shared" si="48"/>
        <v>25.346999999999998</v>
      </c>
      <c r="R143" s="38">
        <f t="shared" si="49"/>
        <v>26.25225</v>
      </c>
      <c r="S143" s="38">
        <f t="shared" si="50"/>
        <v>22.75</v>
      </c>
      <c r="T143" s="38">
        <f t="shared" si="51"/>
        <v>23.5</v>
      </c>
      <c r="U143" s="38">
        <f t="shared" si="52"/>
        <v>24.5</v>
      </c>
      <c r="V143" s="38">
        <f t="shared" si="53"/>
        <v>25.25</v>
      </c>
      <c r="W143" s="38">
        <f t="shared" si="54"/>
        <v>26.25</v>
      </c>
    </row>
    <row r="144" spans="1:23" ht="21" customHeight="1" x14ac:dyDescent="0.2">
      <c r="A144" s="19" t="s">
        <v>154</v>
      </c>
      <c r="B144" s="19" t="s">
        <v>328</v>
      </c>
      <c r="C144" s="20" t="s">
        <v>54</v>
      </c>
      <c r="D144" s="20" t="s">
        <v>384</v>
      </c>
      <c r="E144" s="20" t="s">
        <v>388</v>
      </c>
      <c r="F144" s="20" t="s">
        <v>375</v>
      </c>
      <c r="G144" s="33">
        <v>32</v>
      </c>
      <c r="H144" s="34">
        <f>VLOOKUP($C144,'Raw Cost'!$A$1:$B$484,2,FALSE)/G144</f>
        <v>0.5</v>
      </c>
      <c r="I144" s="34">
        <f t="shared" si="44"/>
        <v>3.125E-2</v>
      </c>
      <c r="J144" s="35">
        <v>5</v>
      </c>
      <c r="K144" s="35">
        <v>0.15</v>
      </c>
      <c r="L144" s="36">
        <f>VLOOKUP($F144,'Packaging Cost'!$A$1:$F$43,6,FALSE)</f>
        <v>0.59</v>
      </c>
      <c r="M144" s="37">
        <f>IF($E144="Snakpak",(($J144*H144)+($K144*'Labor Cost'!$A$2)+L144)+2.25,($J144*H144)+($K144*'Labor Cost'!$A$2)+L144+1)</f>
        <v>7.6150000000000002</v>
      </c>
      <c r="N144" s="38">
        <f t="shared" si="45"/>
        <v>9.5187500000000007</v>
      </c>
      <c r="O144" s="38">
        <f t="shared" si="46"/>
        <v>9.8994999999999997</v>
      </c>
      <c r="P144" s="38">
        <f t="shared" si="47"/>
        <v>10.280250000000001</v>
      </c>
      <c r="Q144" s="38">
        <f t="shared" si="48"/>
        <v>10.661</v>
      </c>
      <c r="R144" s="38">
        <f t="shared" si="49"/>
        <v>11.04175</v>
      </c>
      <c r="S144" s="38">
        <f t="shared" si="50"/>
        <v>9.5</v>
      </c>
      <c r="T144" s="38">
        <f t="shared" si="51"/>
        <v>10</v>
      </c>
      <c r="U144" s="38">
        <f t="shared" si="52"/>
        <v>10.25</v>
      </c>
      <c r="V144" s="38">
        <f t="shared" si="53"/>
        <v>10.75</v>
      </c>
      <c r="W144" s="38">
        <f t="shared" si="54"/>
        <v>11</v>
      </c>
    </row>
    <row r="145" spans="1:23" ht="21" customHeight="1" x14ac:dyDescent="0.2">
      <c r="A145" s="19" t="s">
        <v>156</v>
      </c>
      <c r="B145" s="19" t="s">
        <v>333</v>
      </c>
      <c r="C145" s="32" t="s">
        <v>58</v>
      </c>
      <c r="D145" s="32" t="s">
        <v>384</v>
      </c>
      <c r="E145" s="20" t="s">
        <v>388</v>
      </c>
      <c r="F145" s="20" t="s">
        <v>399</v>
      </c>
      <c r="G145" s="33">
        <v>7.5</v>
      </c>
      <c r="H145" s="34">
        <f>VLOOKUP($C145,'Raw Cost'!$A$1:$B$484,2,FALSE)/G145</f>
        <v>2.2666666666666666</v>
      </c>
      <c r="I145" s="34">
        <f t="shared" si="44"/>
        <v>0.14166666666666666</v>
      </c>
      <c r="J145" s="35">
        <v>5</v>
      </c>
      <c r="K145" s="35">
        <v>0.25</v>
      </c>
      <c r="L145" s="36">
        <f>VLOOKUP($F145,'Packaging Cost'!$A$1:$F$43,6,FALSE)</f>
        <v>1.7600000000000002</v>
      </c>
      <c r="M145" s="37">
        <f>IF($E145="Snakpak",(($J145*H145)+($K145*'Labor Cost'!$A$2)+L145)+2.25,($J145*H145)+($K145*'Labor Cost'!$A$2)+L145+1)</f>
        <v>19.968333333333334</v>
      </c>
      <c r="N145" s="38">
        <f t="shared" si="45"/>
        <v>24.960416666666667</v>
      </c>
      <c r="O145" s="38">
        <f t="shared" si="46"/>
        <v>25.958833333333335</v>
      </c>
      <c r="P145" s="38">
        <f t="shared" si="47"/>
        <v>26.957250000000002</v>
      </c>
      <c r="Q145" s="38">
        <f t="shared" si="48"/>
        <v>27.955666666666666</v>
      </c>
      <c r="R145" s="38">
        <f t="shared" si="49"/>
        <v>28.954083333333333</v>
      </c>
      <c r="S145" s="38">
        <f t="shared" si="50"/>
        <v>25</v>
      </c>
      <c r="T145" s="38">
        <f t="shared" si="51"/>
        <v>26</v>
      </c>
      <c r="U145" s="38">
        <f t="shared" si="52"/>
        <v>27</v>
      </c>
      <c r="V145" s="38">
        <f t="shared" si="53"/>
        <v>28</v>
      </c>
      <c r="W145" s="38">
        <f t="shared" si="54"/>
        <v>29</v>
      </c>
    </row>
    <row r="146" spans="1:23" ht="21" customHeight="1" x14ac:dyDescent="0.2">
      <c r="A146" s="19" t="s">
        <v>155</v>
      </c>
      <c r="B146" s="19" t="s">
        <v>331</v>
      </c>
      <c r="C146" s="32" t="s">
        <v>58</v>
      </c>
      <c r="D146" s="32" t="s">
        <v>384</v>
      </c>
      <c r="E146" s="20" t="s">
        <v>388</v>
      </c>
      <c r="F146" s="20" t="s">
        <v>399</v>
      </c>
      <c r="G146" s="33">
        <v>7.5</v>
      </c>
      <c r="H146" s="34">
        <f>VLOOKUP($C146,'Raw Cost'!$A$1:$B$484,2,FALSE)/G146</f>
        <v>2.2666666666666666</v>
      </c>
      <c r="I146" s="34">
        <f t="shared" si="44"/>
        <v>0.14166666666666666</v>
      </c>
      <c r="J146" s="35">
        <v>5</v>
      </c>
      <c r="K146" s="35">
        <v>0.25</v>
      </c>
      <c r="L146" s="36">
        <f>VLOOKUP($F146,'Packaging Cost'!$A$1:$F$43,6,FALSE)</f>
        <v>1.7600000000000002</v>
      </c>
      <c r="M146" s="37">
        <f>IF($E146="Snakpak",(($J146*H146)+($K146*'Labor Cost'!$A$2)+L146)+2.25,($J146*H146)+($K146*'Labor Cost'!$A$2)+L146+1)</f>
        <v>19.968333333333334</v>
      </c>
      <c r="N146" s="38">
        <f t="shared" si="45"/>
        <v>24.960416666666667</v>
      </c>
      <c r="O146" s="38">
        <f t="shared" si="46"/>
        <v>25.958833333333335</v>
      </c>
      <c r="P146" s="38">
        <f t="shared" si="47"/>
        <v>26.957250000000002</v>
      </c>
      <c r="Q146" s="38">
        <f t="shared" si="48"/>
        <v>27.955666666666666</v>
      </c>
      <c r="R146" s="38">
        <f t="shared" si="49"/>
        <v>28.954083333333333</v>
      </c>
      <c r="S146" s="38">
        <f t="shared" si="50"/>
        <v>25</v>
      </c>
      <c r="T146" s="38">
        <f t="shared" si="51"/>
        <v>26</v>
      </c>
      <c r="U146" s="38">
        <f t="shared" si="52"/>
        <v>27</v>
      </c>
      <c r="V146" s="38">
        <f t="shared" si="53"/>
        <v>28</v>
      </c>
      <c r="W146" s="38">
        <f t="shared" si="54"/>
        <v>29</v>
      </c>
    </row>
    <row r="147" spans="1:23" ht="21" customHeight="1" x14ac:dyDescent="0.2">
      <c r="A147" s="19" t="s">
        <v>149</v>
      </c>
      <c r="B147" s="19" t="s">
        <v>321</v>
      </c>
      <c r="C147" s="32" t="s">
        <v>42</v>
      </c>
      <c r="D147" s="32" t="s">
        <v>384</v>
      </c>
      <c r="E147" s="20" t="s">
        <v>388</v>
      </c>
      <c r="F147" s="20" t="s">
        <v>369</v>
      </c>
      <c r="G147" s="33">
        <v>35</v>
      </c>
      <c r="H147" s="34">
        <f>VLOOKUP($C147,'Raw Cost'!$A$1:$B$484,2,FALSE)/G147</f>
        <v>0.58571428571428574</v>
      </c>
      <c r="I147" s="34">
        <f t="shared" si="44"/>
        <v>3.6607142857142859E-2</v>
      </c>
      <c r="J147" s="35">
        <v>20</v>
      </c>
      <c r="K147" s="35">
        <v>0.3</v>
      </c>
      <c r="L147" s="36">
        <f>VLOOKUP($F147,'Packaging Cost'!$A$1:$F$43,6,FALSE)</f>
        <v>1.23</v>
      </c>
      <c r="M147" s="37">
        <f>IF($E147="Snakpak",(($J147*H147)+($K147*'Labor Cost'!$A$2)+L147)+2.25,($J147*H147)+($K147*'Labor Cost'!$A$2)+L147+1)</f>
        <v>20.994285714285716</v>
      </c>
      <c r="N147" s="38">
        <f t="shared" si="45"/>
        <v>26.242857142857147</v>
      </c>
      <c r="O147" s="38">
        <f t="shared" si="46"/>
        <v>27.292571428571431</v>
      </c>
      <c r="P147" s="38">
        <f t="shared" si="47"/>
        <v>28.342285714285719</v>
      </c>
      <c r="Q147" s="38">
        <f t="shared" si="48"/>
        <v>29.391999999999999</v>
      </c>
      <c r="R147" s="38">
        <f t="shared" si="49"/>
        <v>30.441714285714287</v>
      </c>
      <c r="S147" s="38">
        <f t="shared" si="50"/>
        <v>26.25</v>
      </c>
      <c r="T147" s="38">
        <f t="shared" si="51"/>
        <v>27.25</v>
      </c>
      <c r="U147" s="38">
        <f t="shared" si="52"/>
        <v>28.25</v>
      </c>
      <c r="V147" s="38">
        <f t="shared" si="53"/>
        <v>29.5</v>
      </c>
      <c r="W147" s="38">
        <f t="shared" si="54"/>
        <v>30.5</v>
      </c>
    </row>
    <row r="148" spans="1:23" ht="21" customHeight="1" x14ac:dyDescent="0.2">
      <c r="A148" s="19" t="s">
        <v>150</v>
      </c>
      <c r="B148" s="19" t="s">
        <v>322</v>
      </c>
      <c r="C148" s="32" t="s">
        <v>42</v>
      </c>
      <c r="D148" s="32" t="s">
        <v>384</v>
      </c>
      <c r="E148" s="20" t="s">
        <v>388</v>
      </c>
      <c r="F148" s="20" t="s">
        <v>369</v>
      </c>
      <c r="G148" s="33">
        <v>35</v>
      </c>
      <c r="H148" s="34">
        <f>VLOOKUP($C148,'Raw Cost'!$A$1:$B$484,2,FALSE)/G148</f>
        <v>0.58571428571428574</v>
      </c>
      <c r="I148" s="34">
        <f t="shared" si="44"/>
        <v>3.6607142857142859E-2</v>
      </c>
      <c r="J148" s="35">
        <v>20</v>
      </c>
      <c r="K148" s="35">
        <v>0.3</v>
      </c>
      <c r="L148" s="36">
        <f>VLOOKUP($F148,'Packaging Cost'!$A$1:$F$43,6,FALSE)</f>
        <v>1.23</v>
      </c>
      <c r="M148" s="37">
        <f>IF($E148="Snakpak",(($J148*H148)+($K148*'Labor Cost'!$A$2)+L148)+2.25,($J148*H148)+($K148*'Labor Cost'!$A$2)+L148+1)</f>
        <v>20.994285714285716</v>
      </c>
      <c r="N148" s="38">
        <f t="shared" si="45"/>
        <v>26.242857142857147</v>
      </c>
      <c r="O148" s="38">
        <f t="shared" si="46"/>
        <v>27.292571428571431</v>
      </c>
      <c r="P148" s="38">
        <f t="shared" si="47"/>
        <v>28.342285714285719</v>
      </c>
      <c r="Q148" s="38">
        <f t="shared" si="48"/>
        <v>29.391999999999999</v>
      </c>
      <c r="R148" s="38">
        <f t="shared" si="49"/>
        <v>30.441714285714287</v>
      </c>
      <c r="S148" s="38">
        <f t="shared" si="50"/>
        <v>26.25</v>
      </c>
      <c r="T148" s="38">
        <f t="shared" si="51"/>
        <v>27.25</v>
      </c>
      <c r="U148" s="38">
        <f t="shared" si="52"/>
        <v>28.25</v>
      </c>
      <c r="V148" s="38">
        <f t="shared" si="53"/>
        <v>29.5</v>
      </c>
      <c r="W148" s="38">
        <f t="shared" si="54"/>
        <v>30.5</v>
      </c>
    </row>
    <row r="149" spans="1:23" ht="21" customHeight="1" x14ac:dyDescent="0.2">
      <c r="A149" s="19" t="s">
        <v>147</v>
      </c>
      <c r="B149" s="19" t="s">
        <v>319</v>
      </c>
      <c r="C149" s="32" t="s">
        <v>42</v>
      </c>
      <c r="D149" s="32" t="s">
        <v>384</v>
      </c>
      <c r="E149" s="20" t="s">
        <v>388</v>
      </c>
      <c r="F149" s="20" t="s">
        <v>369</v>
      </c>
      <c r="G149" s="33">
        <v>35</v>
      </c>
      <c r="H149" s="34">
        <f>VLOOKUP($C149,'Raw Cost'!$A$1:$B$484,2,FALSE)/G149</f>
        <v>0.58571428571428574</v>
      </c>
      <c r="I149" s="34">
        <f t="shared" si="44"/>
        <v>3.6607142857142859E-2</v>
      </c>
      <c r="J149" s="35">
        <v>20</v>
      </c>
      <c r="K149" s="35">
        <v>0.3</v>
      </c>
      <c r="L149" s="36">
        <f>VLOOKUP($F149,'Packaging Cost'!$A$1:$F$43,6,FALSE)</f>
        <v>1.23</v>
      </c>
      <c r="M149" s="37">
        <f>IF($E149="Snakpak",(($J149*H149)+($K149*'Labor Cost'!$A$2)+L149)+2.25,($J149*H149)+($K149*'Labor Cost'!$A$2)+L149+1)</f>
        <v>20.994285714285716</v>
      </c>
      <c r="N149" s="38">
        <f t="shared" si="45"/>
        <v>26.242857142857147</v>
      </c>
      <c r="O149" s="38">
        <f t="shared" si="46"/>
        <v>27.292571428571431</v>
      </c>
      <c r="P149" s="38">
        <f t="shared" si="47"/>
        <v>28.342285714285719</v>
      </c>
      <c r="Q149" s="38">
        <f t="shared" si="48"/>
        <v>29.391999999999999</v>
      </c>
      <c r="R149" s="38">
        <f t="shared" si="49"/>
        <v>30.441714285714287</v>
      </c>
      <c r="S149" s="38">
        <f t="shared" si="50"/>
        <v>26.25</v>
      </c>
      <c r="T149" s="38">
        <f t="shared" si="51"/>
        <v>27.25</v>
      </c>
      <c r="U149" s="38">
        <f t="shared" si="52"/>
        <v>28.25</v>
      </c>
      <c r="V149" s="38">
        <f t="shared" si="53"/>
        <v>29.5</v>
      </c>
      <c r="W149" s="38">
        <f t="shared" si="54"/>
        <v>30.5</v>
      </c>
    </row>
    <row r="150" spans="1:23" ht="21" customHeight="1" x14ac:dyDescent="0.2">
      <c r="A150" s="19" t="s">
        <v>151</v>
      </c>
      <c r="B150" s="19" t="s">
        <v>323</v>
      </c>
      <c r="C150" s="32" t="s">
        <v>42</v>
      </c>
      <c r="D150" s="32" t="s">
        <v>384</v>
      </c>
      <c r="E150" s="20" t="s">
        <v>388</v>
      </c>
      <c r="F150" s="20" t="s">
        <v>369</v>
      </c>
      <c r="G150" s="33">
        <v>38</v>
      </c>
      <c r="H150" s="34">
        <f>VLOOKUP($C150,'Raw Cost'!$A$1:$B$484,2,FALSE)/G150</f>
        <v>0.53947368421052633</v>
      </c>
      <c r="I150" s="34">
        <f t="shared" si="44"/>
        <v>3.3717105263157895E-2</v>
      </c>
      <c r="J150" s="35">
        <v>20</v>
      </c>
      <c r="K150" s="35">
        <v>0.3</v>
      </c>
      <c r="L150" s="36">
        <f>VLOOKUP($F150,'Packaging Cost'!$A$1:$F$43,6,FALSE)</f>
        <v>1.23</v>
      </c>
      <c r="M150" s="37">
        <f>IF($E150="Snakpak",(($J150*H150)+($K150*'Labor Cost'!$A$2)+L150)+2.25,($J150*H150)+($K150*'Labor Cost'!$A$2)+L150+1)</f>
        <v>20.069473684210529</v>
      </c>
      <c r="N150" s="38">
        <f t="shared" si="45"/>
        <v>25.086842105263159</v>
      </c>
      <c r="O150" s="38">
        <f t="shared" si="46"/>
        <v>26.090315789473689</v>
      </c>
      <c r="P150" s="38">
        <f t="shared" si="47"/>
        <v>27.093789473684215</v>
      </c>
      <c r="Q150" s="38">
        <f t="shared" si="48"/>
        <v>28.097263157894737</v>
      </c>
      <c r="R150" s="38">
        <f t="shared" si="49"/>
        <v>29.100736842105267</v>
      </c>
      <c r="S150" s="38">
        <f t="shared" si="50"/>
        <v>25</v>
      </c>
      <c r="T150" s="38">
        <f t="shared" si="51"/>
        <v>26</v>
      </c>
      <c r="U150" s="38">
        <f t="shared" si="52"/>
        <v>27</v>
      </c>
      <c r="V150" s="38">
        <f t="shared" si="53"/>
        <v>28</v>
      </c>
      <c r="W150" s="38">
        <f t="shared" si="54"/>
        <v>29</v>
      </c>
    </row>
    <row r="151" spans="1:23" ht="21" customHeight="1" x14ac:dyDescent="0.2">
      <c r="A151" s="19" t="s">
        <v>145</v>
      </c>
      <c r="B151" s="19" t="s">
        <v>317</v>
      </c>
      <c r="C151" s="32" t="s">
        <v>42</v>
      </c>
      <c r="D151" s="32" t="s">
        <v>384</v>
      </c>
      <c r="E151" s="20" t="s">
        <v>388</v>
      </c>
      <c r="F151" s="20" t="s">
        <v>369</v>
      </c>
      <c r="G151" s="33">
        <v>35</v>
      </c>
      <c r="H151" s="34">
        <f>VLOOKUP($C151,'Raw Cost'!$A$1:$B$484,2,FALSE)/G151</f>
        <v>0.58571428571428574</v>
      </c>
      <c r="I151" s="34">
        <f t="shared" si="44"/>
        <v>3.6607142857142859E-2</v>
      </c>
      <c r="J151" s="35">
        <v>20</v>
      </c>
      <c r="K151" s="35">
        <v>0.27</v>
      </c>
      <c r="L151" s="36">
        <f>VLOOKUP($F151,'Packaging Cost'!$A$1:$F$43,6,FALSE)</f>
        <v>1.23</v>
      </c>
      <c r="M151" s="37">
        <f>IF($E151="Snakpak",(($J151*H151)+($K151*'Labor Cost'!$A$2)+L151)+2.25,($J151*H151)+($K151*'Labor Cost'!$A$2)+L151+1)</f>
        <v>20.289285714285715</v>
      </c>
      <c r="N151" s="38">
        <f t="shared" si="45"/>
        <v>25.361607142857142</v>
      </c>
      <c r="O151" s="38">
        <f t="shared" si="46"/>
        <v>26.376071428571429</v>
      </c>
      <c r="P151" s="38">
        <f t="shared" si="47"/>
        <v>27.390535714285715</v>
      </c>
      <c r="Q151" s="38">
        <f t="shared" si="48"/>
        <v>28.404999999999998</v>
      </c>
      <c r="R151" s="38">
        <f t="shared" si="49"/>
        <v>29.419464285714284</v>
      </c>
      <c r="S151" s="38">
        <f t="shared" si="50"/>
        <v>25.25</v>
      </c>
      <c r="T151" s="38">
        <f t="shared" si="51"/>
        <v>26.5</v>
      </c>
      <c r="U151" s="38">
        <f t="shared" si="52"/>
        <v>27.5</v>
      </c>
      <c r="V151" s="38">
        <f t="shared" si="53"/>
        <v>28.5</v>
      </c>
      <c r="W151" s="38">
        <f t="shared" si="54"/>
        <v>29.5</v>
      </c>
    </row>
    <row r="152" spans="1:23" ht="21" customHeight="1" x14ac:dyDescent="0.2">
      <c r="A152" s="19" t="s">
        <v>146</v>
      </c>
      <c r="B152" s="19" t="s">
        <v>318</v>
      </c>
      <c r="C152" s="32" t="s">
        <v>42</v>
      </c>
      <c r="D152" s="32" t="s">
        <v>384</v>
      </c>
      <c r="E152" s="20" t="s">
        <v>388</v>
      </c>
      <c r="F152" s="20" t="s">
        <v>369</v>
      </c>
      <c r="G152" s="33">
        <v>35</v>
      </c>
      <c r="H152" s="34">
        <f>VLOOKUP($C152,'Raw Cost'!$A$1:$B$484,2,FALSE)/G152</f>
        <v>0.58571428571428574</v>
      </c>
      <c r="I152" s="34">
        <f t="shared" si="44"/>
        <v>3.6607142857142859E-2</v>
      </c>
      <c r="J152" s="35">
        <v>20</v>
      </c>
      <c r="K152" s="35">
        <v>0.25</v>
      </c>
      <c r="L152" s="36">
        <f>VLOOKUP($F152,'Packaging Cost'!$A$1:$F$43,6,FALSE)</f>
        <v>1.23</v>
      </c>
      <c r="M152" s="37">
        <f>IF($E152="Snakpak",(($J152*H152)+($K152*'Labor Cost'!$A$2)+L152)+2.25,($J152*H152)+($K152*'Labor Cost'!$A$2)+L152+1)</f>
        <v>19.819285714285716</v>
      </c>
      <c r="N152" s="38">
        <f t="shared" si="45"/>
        <v>24.774107142857144</v>
      </c>
      <c r="O152" s="38">
        <f t="shared" si="46"/>
        <v>25.765071428571432</v>
      </c>
      <c r="P152" s="38">
        <f t="shared" si="47"/>
        <v>26.756035714285719</v>
      </c>
      <c r="Q152" s="38">
        <f t="shared" si="48"/>
        <v>27.747</v>
      </c>
      <c r="R152" s="38">
        <f t="shared" si="49"/>
        <v>28.737964285714288</v>
      </c>
      <c r="S152" s="38">
        <f t="shared" si="50"/>
        <v>24.75</v>
      </c>
      <c r="T152" s="38">
        <f t="shared" si="51"/>
        <v>25.75</v>
      </c>
      <c r="U152" s="38">
        <f t="shared" si="52"/>
        <v>26.75</v>
      </c>
      <c r="V152" s="38">
        <f t="shared" si="53"/>
        <v>27.75</v>
      </c>
      <c r="W152" s="38">
        <f t="shared" si="54"/>
        <v>28.75</v>
      </c>
    </row>
    <row r="153" spans="1:23" ht="21" customHeight="1" x14ac:dyDescent="0.2">
      <c r="A153" s="19" t="s">
        <v>148</v>
      </c>
      <c r="B153" s="19" t="s">
        <v>320</v>
      </c>
      <c r="C153" s="32" t="s">
        <v>42</v>
      </c>
      <c r="D153" s="32" t="s">
        <v>384</v>
      </c>
      <c r="E153" s="20" t="s">
        <v>388</v>
      </c>
      <c r="F153" s="20" t="s">
        <v>369</v>
      </c>
      <c r="G153" s="33">
        <v>35</v>
      </c>
      <c r="H153" s="34">
        <f>VLOOKUP($C153,'Raw Cost'!$A$1:$B$484,2,FALSE)/G153</f>
        <v>0.58571428571428574</v>
      </c>
      <c r="I153" s="34">
        <f t="shared" si="44"/>
        <v>3.6607142857142859E-2</v>
      </c>
      <c r="J153" s="35">
        <v>20</v>
      </c>
      <c r="K153" s="35">
        <v>0.3</v>
      </c>
      <c r="L153" s="36">
        <f>VLOOKUP($F153,'Packaging Cost'!$A$1:$F$43,6,FALSE)</f>
        <v>1.23</v>
      </c>
      <c r="M153" s="37">
        <f>IF($E153="Snakpak",(($J153*H153)+($K153*'Labor Cost'!$A$2)+L153)+2.25,($J153*H153)+($K153*'Labor Cost'!$A$2)+L153+1)</f>
        <v>20.994285714285716</v>
      </c>
      <c r="N153" s="38">
        <f t="shared" si="45"/>
        <v>26.242857142857147</v>
      </c>
      <c r="O153" s="38">
        <f t="shared" si="46"/>
        <v>27.292571428571431</v>
      </c>
      <c r="P153" s="38">
        <f t="shared" si="47"/>
        <v>28.342285714285719</v>
      </c>
      <c r="Q153" s="38">
        <f t="shared" si="48"/>
        <v>29.391999999999999</v>
      </c>
      <c r="R153" s="38">
        <f t="shared" si="49"/>
        <v>30.441714285714287</v>
      </c>
      <c r="S153" s="38">
        <f t="shared" si="50"/>
        <v>26.25</v>
      </c>
      <c r="T153" s="38">
        <f t="shared" si="51"/>
        <v>27.25</v>
      </c>
      <c r="U153" s="38">
        <f t="shared" si="52"/>
        <v>28.25</v>
      </c>
      <c r="V153" s="38">
        <f t="shared" si="53"/>
        <v>29.5</v>
      </c>
      <c r="W153" s="38">
        <f t="shared" si="54"/>
        <v>30.5</v>
      </c>
    </row>
    <row r="154" spans="1:23" ht="21" customHeight="1" x14ac:dyDescent="0.2">
      <c r="A154" s="19" t="s">
        <v>1056</v>
      </c>
      <c r="B154" s="19" t="s">
        <v>266</v>
      </c>
      <c r="C154" s="20" t="s">
        <v>405</v>
      </c>
      <c r="D154" s="20" t="s">
        <v>384</v>
      </c>
      <c r="E154" s="20" t="s">
        <v>388</v>
      </c>
      <c r="F154" s="20" t="s">
        <v>375</v>
      </c>
      <c r="G154" s="33">
        <v>18</v>
      </c>
      <c r="H154" s="34">
        <f>VLOOKUP($C154,'Raw Cost'!$A$1:$B$484,2,FALSE)/G154</f>
        <v>1.5833333333333333</v>
      </c>
      <c r="I154" s="34">
        <f t="shared" si="44"/>
        <v>9.8958333333333329E-2</v>
      </c>
      <c r="J154" s="35">
        <v>5</v>
      </c>
      <c r="K154" s="35">
        <v>0.25</v>
      </c>
      <c r="L154" s="36">
        <f>VLOOKUP($F154,'Packaging Cost'!$A$1:$F$43,6,FALSE)</f>
        <v>0.59</v>
      </c>
      <c r="M154" s="37">
        <f>IF($E154="Snakpak",(($J154*H154)+($K154*'Labor Cost'!$A$2)+L154)+2.25,($J154*H154)+($K154*'Labor Cost'!$A$2)+L154+1)</f>
        <v>15.381666666666666</v>
      </c>
      <c r="N154" s="38">
        <f t="shared" si="45"/>
        <v>19.227083333333333</v>
      </c>
      <c r="O154" s="38">
        <f t="shared" si="46"/>
        <v>19.996166666666667</v>
      </c>
      <c r="P154" s="38">
        <f t="shared" si="47"/>
        <v>20.765250000000002</v>
      </c>
      <c r="Q154" s="38">
        <f t="shared" si="48"/>
        <v>21.534333333333333</v>
      </c>
      <c r="R154" s="38">
        <f t="shared" si="49"/>
        <v>22.303416666666664</v>
      </c>
      <c r="S154" s="38">
        <f t="shared" si="50"/>
        <v>19.25</v>
      </c>
      <c r="T154" s="38">
        <f t="shared" si="51"/>
        <v>20</v>
      </c>
      <c r="U154" s="38">
        <f t="shared" si="52"/>
        <v>20.75</v>
      </c>
      <c r="V154" s="38">
        <f t="shared" si="53"/>
        <v>21.5</v>
      </c>
      <c r="W154" s="38">
        <f t="shared" si="54"/>
        <v>22.25</v>
      </c>
    </row>
    <row r="155" spans="1:23" ht="21" customHeight="1" x14ac:dyDescent="0.2">
      <c r="A155" s="19" t="s">
        <v>81</v>
      </c>
      <c r="B155" s="19" t="s">
        <v>233</v>
      </c>
      <c r="C155" s="20" t="s">
        <v>43</v>
      </c>
      <c r="D155" s="20" t="s">
        <v>384</v>
      </c>
      <c r="E155" s="20" t="s">
        <v>388</v>
      </c>
      <c r="F155" s="20" t="s">
        <v>397</v>
      </c>
      <c r="G155" s="33">
        <v>20</v>
      </c>
      <c r="H155" s="34">
        <f>VLOOKUP($C155,'Raw Cost'!$A$1:$B$484,2,FALSE)/G155</f>
        <v>2.1</v>
      </c>
      <c r="I155" s="34">
        <f t="shared" si="44"/>
        <v>0.13125000000000001</v>
      </c>
      <c r="J155" s="35">
        <v>10</v>
      </c>
      <c r="K155" s="35">
        <v>0.25</v>
      </c>
      <c r="L155" s="36">
        <f>L158</f>
        <v>2.6</v>
      </c>
      <c r="M155" s="37">
        <f>IF($E155="Snakpak",(($J155*H155)+($K155*'Labor Cost'!$A$2)+L155)+2.25,($J155*H155)+($K155*'Labor Cost'!$A$2)+L155+1)</f>
        <v>30.475000000000001</v>
      </c>
      <c r="N155" s="38">
        <f t="shared" si="45"/>
        <v>38.09375</v>
      </c>
      <c r="O155" s="38">
        <f t="shared" si="46"/>
        <v>39.6175</v>
      </c>
      <c r="P155" s="38">
        <f t="shared" si="47"/>
        <v>41.141250000000007</v>
      </c>
      <c r="Q155" s="38">
        <f t="shared" si="48"/>
        <v>42.664999999999999</v>
      </c>
      <c r="R155" s="38">
        <f t="shared" si="49"/>
        <v>44.188749999999999</v>
      </c>
      <c r="S155" s="38">
        <f t="shared" si="50"/>
        <v>38</v>
      </c>
      <c r="T155" s="38">
        <f t="shared" si="51"/>
        <v>39.5</v>
      </c>
      <c r="U155" s="38">
        <f t="shared" si="52"/>
        <v>41.25</v>
      </c>
      <c r="V155" s="38">
        <f t="shared" si="53"/>
        <v>42.75</v>
      </c>
      <c r="W155" s="38">
        <f t="shared" si="54"/>
        <v>44.25</v>
      </c>
    </row>
    <row r="156" spans="1:23" ht="21" customHeight="1" x14ac:dyDescent="0.2">
      <c r="A156" s="19" t="s">
        <v>1059</v>
      </c>
      <c r="B156" s="19" t="s">
        <v>233</v>
      </c>
      <c r="C156" s="20" t="s">
        <v>43</v>
      </c>
      <c r="D156" s="20" t="s">
        <v>384</v>
      </c>
      <c r="E156" s="20" t="s">
        <v>388</v>
      </c>
      <c r="F156" s="20" t="s">
        <v>397</v>
      </c>
      <c r="G156" s="33">
        <v>20</v>
      </c>
      <c r="H156" s="34">
        <f>VLOOKUP($C156,'Raw Cost'!$A$1:$B$484,2,FALSE)/G156</f>
        <v>2.1</v>
      </c>
      <c r="I156" s="34">
        <f t="shared" si="44"/>
        <v>0.13125000000000001</v>
      </c>
      <c r="J156" s="35">
        <v>20</v>
      </c>
      <c r="K156" s="35">
        <v>0.25</v>
      </c>
      <c r="L156" s="36">
        <f>L157*2</f>
        <v>3.5200000000000005</v>
      </c>
      <c r="M156" s="37">
        <f>IF($E156="Snakpak",(($J156*H156)+($K156*'Labor Cost'!$A$2)+L156)+2.25,($J156*H156)+($K156*'Labor Cost'!$A$2)+L156+1)</f>
        <v>52.395000000000003</v>
      </c>
      <c r="N156" s="38">
        <f t="shared" si="45"/>
        <v>65.493750000000006</v>
      </c>
      <c r="O156" s="38">
        <f t="shared" si="46"/>
        <v>68.113500000000002</v>
      </c>
      <c r="P156" s="38">
        <f t="shared" si="47"/>
        <v>70.733250000000012</v>
      </c>
      <c r="Q156" s="38">
        <f t="shared" si="48"/>
        <v>73.352999999999994</v>
      </c>
      <c r="R156" s="38">
        <f t="shared" si="49"/>
        <v>75.972750000000005</v>
      </c>
      <c r="S156" s="38">
        <f t="shared" si="50"/>
        <v>65.5</v>
      </c>
      <c r="T156" s="38">
        <f t="shared" si="51"/>
        <v>68</v>
      </c>
      <c r="U156" s="38">
        <f t="shared" si="52"/>
        <v>70.75</v>
      </c>
      <c r="V156" s="38">
        <f t="shared" si="53"/>
        <v>73.25</v>
      </c>
      <c r="W156" s="38">
        <f t="shared" si="54"/>
        <v>76</v>
      </c>
    </row>
    <row r="157" spans="1:23" ht="21" customHeight="1" x14ac:dyDescent="0.2">
      <c r="A157" s="19" t="s">
        <v>82</v>
      </c>
      <c r="B157" s="19" t="s">
        <v>234</v>
      </c>
      <c r="C157" s="20" t="s">
        <v>43</v>
      </c>
      <c r="D157" s="20" t="s">
        <v>384</v>
      </c>
      <c r="E157" s="20" t="s">
        <v>388</v>
      </c>
      <c r="F157" s="20" t="s">
        <v>399</v>
      </c>
      <c r="G157" s="33">
        <v>20</v>
      </c>
      <c r="H157" s="34">
        <f>VLOOKUP($C157,'Raw Cost'!$A$1:$B$484,2,FALSE)/G157</f>
        <v>2.1</v>
      </c>
      <c r="I157" s="34">
        <f t="shared" si="44"/>
        <v>0.13125000000000001</v>
      </c>
      <c r="J157" s="35">
        <v>5</v>
      </c>
      <c r="K157" s="35">
        <v>0.25</v>
      </c>
      <c r="L157" s="36">
        <f>VLOOKUP($F157,'Packaging Cost'!$A$1:$F$43,6,FALSE)</f>
        <v>1.7600000000000002</v>
      </c>
      <c r="M157" s="37">
        <f>IF($E157="Snakpak",(($J157*H157)+($K157*'Labor Cost'!$A$2)+L157)+2.25,($J157*H157)+($K157*'Labor Cost'!$A$2)+L157+1)</f>
        <v>19.135000000000002</v>
      </c>
      <c r="N157" s="38">
        <f t="shared" si="45"/>
        <v>23.918750000000003</v>
      </c>
      <c r="O157" s="38">
        <f t="shared" si="46"/>
        <v>24.875500000000002</v>
      </c>
      <c r="P157" s="38">
        <f t="shared" si="47"/>
        <v>25.832250000000005</v>
      </c>
      <c r="Q157" s="38">
        <f t="shared" si="48"/>
        <v>26.789000000000001</v>
      </c>
      <c r="R157" s="38">
        <f t="shared" si="49"/>
        <v>27.745750000000001</v>
      </c>
      <c r="S157" s="38">
        <f t="shared" si="50"/>
        <v>24</v>
      </c>
      <c r="T157" s="38">
        <f t="shared" si="51"/>
        <v>25</v>
      </c>
      <c r="U157" s="38">
        <f t="shared" si="52"/>
        <v>25.75</v>
      </c>
      <c r="V157" s="38">
        <f t="shared" si="53"/>
        <v>26.75</v>
      </c>
      <c r="W157" s="38">
        <f t="shared" si="54"/>
        <v>27.75</v>
      </c>
    </row>
    <row r="158" spans="1:23" ht="21" customHeight="1" x14ac:dyDescent="0.2">
      <c r="A158" s="19" t="s">
        <v>1057</v>
      </c>
      <c r="B158" s="19" t="s">
        <v>233</v>
      </c>
      <c r="C158" s="20" t="s">
        <v>1026</v>
      </c>
      <c r="D158" s="20" t="s">
        <v>384</v>
      </c>
      <c r="E158" s="20" t="s">
        <v>388</v>
      </c>
      <c r="F158" s="20" t="s">
        <v>397</v>
      </c>
      <c r="G158" s="33">
        <v>18</v>
      </c>
      <c r="H158" s="34">
        <f>VLOOKUP($C158,'Raw Cost'!$A$1:$B$484,2,FALSE)/G158</f>
        <v>3.4444444444444446</v>
      </c>
      <c r="I158" s="34">
        <f t="shared" si="44"/>
        <v>0.21527777777777779</v>
      </c>
      <c r="J158" s="35">
        <v>10</v>
      </c>
      <c r="K158" s="35">
        <v>0.25</v>
      </c>
      <c r="L158" s="36">
        <v>2.6</v>
      </c>
      <c r="M158" s="37">
        <f>IF($E158="Snakpak",(($J158*H158)+($K158*'Labor Cost'!$A$2)+L158)+2.25,($J158*H158)+($K158*'Labor Cost'!$A$2)+L158+1)</f>
        <v>43.919444444444444</v>
      </c>
      <c r="N158" s="38">
        <f t="shared" si="45"/>
        <v>54.899305555555557</v>
      </c>
      <c r="O158" s="38">
        <f t="shared" si="46"/>
        <v>57.095277777777781</v>
      </c>
      <c r="P158" s="38">
        <f t="shared" si="47"/>
        <v>59.291250000000005</v>
      </c>
      <c r="Q158" s="38">
        <f t="shared" si="48"/>
        <v>61.487222222222215</v>
      </c>
      <c r="R158" s="38">
        <f t="shared" si="49"/>
        <v>63.683194444444439</v>
      </c>
      <c r="S158" s="38">
        <f t="shared" si="50"/>
        <v>55</v>
      </c>
      <c r="T158" s="38">
        <f t="shared" si="51"/>
        <v>57</v>
      </c>
      <c r="U158" s="38">
        <f t="shared" si="52"/>
        <v>59.25</v>
      </c>
      <c r="V158" s="38">
        <f t="shared" si="53"/>
        <v>61.5</v>
      </c>
      <c r="W158" s="38">
        <f t="shared" si="54"/>
        <v>63.75</v>
      </c>
    </row>
    <row r="159" spans="1:23" ht="21" customHeight="1" x14ac:dyDescent="0.2">
      <c r="A159" s="19" t="s">
        <v>102</v>
      </c>
      <c r="B159" s="19" t="s">
        <v>330</v>
      </c>
      <c r="C159" s="20" t="s">
        <v>46</v>
      </c>
      <c r="D159" s="20" t="s">
        <v>384</v>
      </c>
      <c r="E159" s="20" t="s">
        <v>388</v>
      </c>
      <c r="F159" s="20" t="s">
        <v>397</v>
      </c>
      <c r="G159" s="33">
        <v>20</v>
      </c>
      <c r="H159" s="34">
        <f>VLOOKUP($C159,'Raw Cost'!$A$1:$B$484,2,FALSE)/G159</f>
        <v>1.95</v>
      </c>
      <c r="I159" s="34">
        <f t="shared" si="44"/>
        <v>0.121875</v>
      </c>
      <c r="J159" s="35">
        <v>10</v>
      </c>
      <c r="K159" s="35">
        <v>0.25</v>
      </c>
      <c r="L159" s="36">
        <f>VLOOKUP($F159,'Packaging Cost'!$A$1:$F$43,6,FALSE)</f>
        <v>3.22</v>
      </c>
      <c r="M159" s="37">
        <f>IF($E159="Snakpak",(($J159*H159)+($K159*'Labor Cost'!$A$2)+L159)+2.25,($J159*H159)+($K159*'Labor Cost'!$A$2)+L159+1)</f>
        <v>29.594999999999999</v>
      </c>
      <c r="N159" s="38">
        <f t="shared" si="45"/>
        <v>36.993749999999999</v>
      </c>
      <c r="O159" s="38">
        <f t="shared" si="46"/>
        <v>38.473500000000001</v>
      </c>
      <c r="P159" s="38">
        <f t="shared" si="47"/>
        <v>39.953250000000004</v>
      </c>
      <c r="Q159" s="38">
        <f t="shared" si="48"/>
        <v>41.432999999999993</v>
      </c>
      <c r="R159" s="38">
        <f t="shared" si="49"/>
        <v>42.912749999999996</v>
      </c>
      <c r="S159" s="38">
        <f t="shared" si="50"/>
        <v>37</v>
      </c>
      <c r="T159" s="38">
        <f t="shared" si="51"/>
        <v>38.5</v>
      </c>
      <c r="U159" s="38">
        <f t="shared" si="52"/>
        <v>40</v>
      </c>
      <c r="V159" s="38">
        <f t="shared" si="53"/>
        <v>41.5</v>
      </c>
      <c r="W159" s="38">
        <f t="shared" si="54"/>
        <v>43</v>
      </c>
    </row>
    <row r="160" spans="1:23" ht="21" customHeight="1" x14ac:dyDescent="0.2">
      <c r="A160" s="19" t="s">
        <v>161</v>
      </c>
      <c r="B160" s="19" t="s">
        <v>338</v>
      </c>
      <c r="C160" s="32" t="s">
        <v>1037</v>
      </c>
      <c r="D160" s="20" t="s">
        <v>384</v>
      </c>
      <c r="E160" s="20" t="s">
        <v>388</v>
      </c>
      <c r="F160" s="20" t="s">
        <v>376</v>
      </c>
      <c r="G160" s="33">
        <v>18</v>
      </c>
      <c r="H160" s="34">
        <f>VLOOKUP($C160,'Raw Cost'!$A$1:$B$484,2,FALSE)/G160</f>
        <v>0.94444444444444442</v>
      </c>
      <c r="I160" s="34">
        <f t="shared" si="44"/>
        <v>5.9027777777777776E-2</v>
      </c>
      <c r="J160" s="35">
        <v>12</v>
      </c>
      <c r="K160" s="35">
        <v>0.25</v>
      </c>
      <c r="L160" s="36">
        <f>VLOOKUP($F160,'Packaging Cost'!$A$1:$F$43,6,FALSE)</f>
        <v>1.6</v>
      </c>
      <c r="M160" s="37">
        <f>IF($E160="Snakpak",(($J160*H160)+($K160*'Labor Cost'!$A$2)+L160)+2.25,($J160*H160)+($K160*'Labor Cost'!$A$2)+L160+1)</f>
        <v>19.808333333333334</v>
      </c>
      <c r="N160" s="38">
        <f t="shared" si="45"/>
        <v>24.760416666666668</v>
      </c>
      <c r="O160" s="38">
        <f t="shared" si="46"/>
        <v>25.750833333333336</v>
      </c>
      <c r="P160" s="38">
        <f t="shared" si="47"/>
        <v>26.741250000000001</v>
      </c>
      <c r="Q160" s="38">
        <f t="shared" si="48"/>
        <v>27.731666666666666</v>
      </c>
      <c r="R160" s="38">
        <f t="shared" si="49"/>
        <v>28.722083333333334</v>
      </c>
      <c r="S160" s="38">
        <f t="shared" si="50"/>
        <v>24.75</v>
      </c>
      <c r="T160" s="38">
        <f t="shared" si="51"/>
        <v>25.75</v>
      </c>
      <c r="U160" s="38">
        <f t="shared" si="52"/>
        <v>26.75</v>
      </c>
      <c r="V160" s="38">
        <f t="shared" si="53"/>
        <v>27.75</v>
      </c>
      <c r="W160" s="38">
        <f t="shared" si="54"/>
        <v>28.75</v>
      </c>
    </row>
    <row r="161" spans="1:23" ht="21" customHeight="1" x14ac:dyDescent="0.2">
      <c r="A161" s="19" t="s">
        <v>1058</v>
      </c>
      <c r="B161" s="19" t="s">
        <v>341</v>
      </c>
      <c r="C161" s="32" t="s">
        <v>47</v>
      </c>
      <c r="D161" s="20" t="s">
        <v>384</v>
      </c>
      <c r="E161" s="20" t="s">
        <v>388</v>
      </c>
      <c r="F161" s="20" t="s">
        <v>369</v>
      </c>
      <c r="G161" s="33">
        <v>18</v>
      </c>
      <c r="H161" s="34">
        <f>VLOOKUP($C161,'Raw Cost'!$A$1:$B$484,2,FALSE)/G161</f>
        <v>1.3611111111111112</v>
      </c>
      <c r="I161" s="34">
        <f t="shared" si="44"/>
        <v>8.5069444444444448E-2</v>
      </c>
      <c r="J161" s="35">
        <v>10</v>
      </c>
      <c r="K161" s="35">
        <v>0.27</v>
      </c>
      <c r="L161" s="36">
        <f>VLOOKUP($F161,'Packaging Cost'!$A$1:$F$43,6,FALSE)</f>
        <v>1.23</v>
      </c>
      <c r="M161" s="37">
        <f>IF($E161="Snakpak",(($J161*H161)+($K161*'Labor Cost'!$A$2)+L161)+2.25,($J161*H161)+($K161*'Labor Cost'!$A$2)+L161+1)</f>
        <v>22.186111111111114</v>
      </c>
      <c r="N161" s="38">
        <f t="shared" si="45"/>
        <v>27.732638888888893</v>
      </c>
      <c r="O161" s="38">
        <f t="shared" si="46"/>
        <v>28.841944444444447</v>
      </c>
      <c r="P161" s="38">
        <f t="shared" si="47"/>
        <v>29.951250000000005</v>
      </c>
      <c r="Q161" s="38">
        <f t="shared" si="48"/>
        <v>31.060555555555556</v>
      </c>
      <c r="R161" s="38">
        <f t="shared" si="49"/>
        <v>32.169861111111111</v>
      </c>
      <c r="S161" s="38">
        <f t="shared" si="50"/>
        <v>27.75</v>
      </c>
      <c r="T161" s="38">
        <f t="shared" si="51"/>
        <v>28.75</v>
      </c>
      <c r="U161" s="38">
        <f t="shared" si="52"/>
        <v>30</v>
      </c>
      <c r="V161" s="38">
        <f t="shared" si="53"/>
        <v>31</v>
      </c>
      <c r="W161" s="38">
        <f t="shared" si="54"/>
        <v>32.25</v>
      </c>
    </row>
    <row r="162" spans="1:23" ht="21" customHeight="1" x14ac:dyDescent="0.2">
      <c r="A162" s="19" t="s">
        <v>163</v>
      </c>
      <c r="B162" s="19" t="s">
        <v>341</v>
      </c>
      <c r="C162" s="32" t="s">
        <v>47</v>
      </c>
      <c r="D162" s="20" t="s">
        <v>384</v>
      </c>
      <c r="E162" s="20" t="s">
        <v>388</v>
      </c>
      <c r="F162" s="20" t="s">
        <v>369</v>
      </c>
      <c r="G162" s="33">
        <v>18</v>
      </c>
      <c r="H162" s="34">
        <f>VLOOKUP($C162,'Raw Cost'!$A$1:$B$484,2,FALSE)/G162</f>
        <v>1.3611111111111112</v>
      </c>
      <c r="I162" s="34">
        <f t="shared" ref="I162:I168" si="55">H162/16</f>
        <v>8.5069444444444448E-2</v>
      </c>
      <c r="J162" s="35">
        <v>20</v>
      </c>
      <c r="K162" s="35">
        <v>0.27</v>
      </c>
      <c r="L162" s="36">
        <f>VLOOKUP($F162,'Packaging Cost'!$A$1:$F$43,6,FALSE)</f>
        <v>1.23</v>
      </c>
      <c r="M162" s="37">
        <f>IF($E162="Snakpak",(($J162*H162)+($K162*'Labor Cost'!$A$2)+L162)+2.25,($J162*H162)+($K162*'Labor Cost'!$A$2)+L162+1)</f>
        <v>35.797222222222217</v>
      </c>
      <c r="N162" s="38">
        <f t="shared" ref="N162:N168" si="56">IF($D162="No",$M162*1.25,($M162*1.25)+15)</f>
        <v>44.746527777777771</v>
      </c>
      <c r="O162" s="38">
        <f t="shared" ref="O162:O168" si="57">IF($D162="No",$M162*1.3,($M162*1.3)+15)</f>
        <v>46.536388888888887</v>
      </c>
      <c r="P162" s="38">
        <f t="shared" ref="P162:P168" si="58">IF($D162="No",$M162*1.35,($M162*1.35)+15)</f>
        <v>48.326249999999995</v>
      </c>
      <c r="Q162" s="38">
        <f t="shared" ref="Q162:Q168" si="59">IF($D162="No",$M162*1.4,($M162*1.4)+15)</f>
        <v>50.116111111111103</v>
      </c>
      <c r="R162" s="38">
        <f t="shared" ref="R162:R168" si="60">IF($D162="No",$M162*1.45,($M162*1.45)+15)</f>
        <v>51.905972222222211</v>
      </c>
      <c r="S162" s="38">
        <f t="shared" ref="S162:S168" si="61">MROUND(N162,0.25)</f>
        <v>44.75</v>
      </c>
      <c r="T162" s="38">
        <f t="shared" ref="T162:T168" si="62">MROUND(O162,0.25)</f>
        <v>46.5</v>
      </c>
      <c r="U162" s="38">
        <f t="shared" ref="U162:U168" si="63">MROUND(P162,0.25)</f>
        <v>48.25</v>
      </c>
      <c r="V162" s="38">
        <f t="shared" ref="V162:V168" si="64">MROUND(Q162,0.25)</f>
        <v>50</v>
      </c>
      <c r="W162" s="38">
        <f t="shared" ref="W162:W168" si="65">MROUND(R162,0.25)</f>
        <v>52</v>
      </c>
    </row>
    <row r="163" spans="1:23" ht="21" customHeight="1" x14ac:dyDescent="0.2">
      <c r="A163" s="19" t="s">
        <v>1148</v>
      </c>
      <c r="B163" s="19" t="s">
        <v>240</v>
      </c>
      <c r="C163" s="20" t="s">
        <v>580</v>
      </c>
      <c r="D163" s="20" t="s">
        <v>384</v>
      </c>
      <c r="E163" s="20" t="s">
        <v>388</v>
      </c>
      <c r="F163" s="20" t="s">
        <v>1146</v>
      </c>
      <c r="G163" s="33">
        <v>5</v>
      </c>
      <c r="H163" s="34">
        <f>VLOOKUP($C163,'Raw Cost'!$A$1:$B$484,2,FALSE)/G163</f>
        <v>1.4313071895424838</v>
      </c>
      <c r="I163" s="34">
        <f t="shared" si="55"/>
        <v>8.9456699346405238E-2</v>
      </c>
      <c r="J163" s="35">
        <v>5</v>
      </c>
      <c r="K163" s="35">
        <v>0.25</v>
      </c>
      <c r="L163" s="36">
        <f>VLOOKUP($F163,'Packaging Cost'!$A$1:$F$43,6,FALSE)</f>
        <v>2.1</v>
      </c>
      <c r="M163" s="37">
        <f>IF($E163="Snakpak",(($J163*H163)+($K163*'Labor Cost'!$A$2)+L163)+2.25,($J163*H163)+($K163*'Labor Cost'!$A$2)+L163+1)</f>
        <v>16.131535947712418</v>
      </c>
      <c r="N163" s="38">
        <f t="shared" si="56"/>
        <v>20.164419934640524</v>
      </c>
      <c r="O163" s="38">
        <f t="shared" si="57"/>
        <v>20.970996732026144</v>
      </c>
      <c r="P163" s="38">
        <f t="shared" si="58"/>
        <v>21.777573529411764</v>
      </c>
      <c r="Q163" s="38">
        <f t="shared" si="59"/>
        <v>22.584150326797385</v>
      </c>
      <c r="R163" s="38">
        <f t="shared" si="60"/>
        <v>23.390727124183005</v>
      </c>
      <c r="S163" s="38">
        <f t="shared" si="61"/>
        <v>20.25</v>
      </c>
      <c r="T163" s="38">
        <f t="shared" si="62"/>
        <v>21</v>
      </c>
      <c r="U163" s="38">
        <f t="shared" si="63"/>
        <v>21.75</v>
      </c>
      <c r="V163" s="38">
        <f t="shared" si="64"/>
        <v>22.5</v>
      </c>
      <c r="W163" s="38">
        <f t="shared" si="65"/>
        <v>23.5</v>
      </c>
    </row>
    <row r="164" spans="1:23" ht="21" customHeight="1" x14ac:dyDescent="0.2">
      <c r="A164" s="19" t="s">
        <v>165</v>
      </c>
      <c r="B164" s="19" t="s">
        <v>343</v>
      </c>
      <c r="C164" s="32" t="s">
        <v>59</v>
      </c>
      <c r="D164" s="20" t="s">
        <v>384</v>
      </c>
      <c r="E164" s="20" t="s">
        <v>388</v>
      </c>
      <c r="F164" s="20" t="s">
        <v>399</v>
      </c>
      <c r="G164" s="33">
        <v>7</v>
      </c>
      <c r="H164" s="34">
        <f>VLOOKUP($C164,'Raw Cost'!$A$1:$B$484,2,FALSE)/G164</f>
        <v>2.2857142857142856</v>
      </c>
      <c r="I164" s="34">
        <f t="shared" si="55"/>
        <v>0.14285714285714285</v>
      </c>
      <c r="J164" s="35">
        <v>5</v>
      </c>
      <c r="K164" s="35">
        <v>0.25</v>
      </c>
      <c r="L164" s="36">
        <f>VLOOKUP($F164,'Packaging Cost'!$A$1:$F$43,6,FALSE)</f>
        <v>1.7600000000000002</v>
      </c>
      <c r="M164" s="37">
        <f>IF($E164="Snakpak",(($J164*H164)+($K164*'Labor Cost'!$A$2)+L164)+2.25,($J164*H164)+($K164*'Labor Cost'!$A$2)+L164+1)</f>
        <v>20.063571428571429</v>
      </c>
      <c r="N164" s="38">
        <f t="shared" si="56"/>
        <v>25.079464285714288</v>
      </c>
      <c r="O164" s="38">
        <f t="shared" si="57"/>
        <v>26.082642857142858</v>
      </c>
      <c r="P164" s="38">
        <f t="shared" si="58"/>
        <v>27.085821428571432</v>
      </c>
      <c r="Q164" s="38">
        <f t="shared" si="59"/>
        <v>28.088999999999999</v>
      </c>
      <c r="R164" s="38">
        <f t="shared" si="60"/>
        <v>29.092178571428569</v>
      </c>
      <c r="S164" s="38">
        <f t="shared" si="61"/>
        <v>25</v>
      </c>
      <c r="T164" s="38">
        <f t="shared" si="62"/>
        <v>26</v>
      </c>
      <c r="U164" s="38">
        <f t="shared" si="63"/>
        <v>27</v>
      </c>
      <c r="V164" s="38">
        <f t="shared" si="64"/>
        <v>28</v>
      </c>
      <c r="W164" s="38">
        <f t="shared" si="65"/>
        <v>29</v>
      </c>
    </row>
    <row r="165" spans="1:23" ht="21" customHeight="1" x14ac:dyDescent="0.2">
      <c r="A165" s="19" t="s">
        <v>107</v>
      </c>
      <c r="B165" s="19" t="s">
        <v>358</v>
      </c>
      <c r="C165" s="20" t="s">
        <v>55</v>
      </c>
      <c r="D165" s="20" t="s">
        <v>384</v>
      </c>
      <c r="E165" s="20" t="s">
        <v>388</v>
      </c>
      <c r="F165" s="20" t="s">
        <v>369</v>
      </c>
      <c r="G165" s="33">
        <v>15</v>
      </c>
      <c r="H165" s="34">
        <f>VLOOKUP($C165,'Raw Cost'!$A$1:$B$484,2,FALSE)/G165</f>
        <v>1.3333333333333333</v>
      </c>
      <c r="I165" s="34">
        <f t="shared" si="55"/>
        <v>8.3333333333333329E-2</v>
      </c>
      <c r="J165" s="35">
        <v>20</v>
      </c>
      <c r="K165" s="35">
        <v>0.25</v>
      </c>
      <c r="L165" s="36">
        <f>VLOOKUP($F165,'Packaging Cost'!$A$1:$F$43,6,FALSE)</f>
        <v>1.23</v>
      </c>
      <c r="M165" s="37">
        <f>IF($E165="Snakpak",(($J165*H165)+($K165*'Labor Cost'!$A$2)+L165)+2.25,($J165*H165)+($K165*'Labor Cost'!$A$2)+L165+1)</f>
        <v>34.771666666666661</v>
      </c>
      <c r="N165" s="38">
        <f t="shared" si="56"/>
        <v>43.464583333333323</v>
      </c>
      <c r="O165" s="38">
        <f t="shared" si="57"/>
        <v>45.203166666666661</v>
      </c>
      <c r="P165" s="38">
        <f t="shared" si="58"/>
        <v>46.941749999999999</v>
      </c>
      <c r="Q165" s="38">
        <f t="shared" si="59"/>
        <v>48.680333333333323</v>
      </c>
      <c r="R165" s="38">
        <f t="shared" si="60"/>
        <v>50.418916666666654</v>
      </c>
      <c r="S165" s="38">
        <f t="shared" si="61"/>
        <v>43.5</v>
      </c>
      <c r="T165" s="38">
        <f t="shared" si="62"/>
        <v>45.25</v>
      </c>
      <c r="U165" s="38">
        <f t="shared" si="63"/>
        <v>47</v>
      </c>
      <c r="V165" s="38">
        <f t="shared" si="64"/>
        <v>48.75</v>
      </c>
      <c r="W165" s="38">
        <f t="shared" si="65"/>
        <v>50.5</v>
      </c>
    </row>
    <row r="166" spans="1:23" ht="21" customHeight="1" x14ac:dyDescent="0.2">
      <c r="A166" s="19" t="s">
        <v>172</v>
      </c>
      <c r="B166" s="19" t="s">
        <v>356</v>
      </c>
      <c r="C166" s="20" t="s">
        <v>55</v>
      </c>
      <c r="D166" s="20" t="s">
        <v>384</v>
      </c>
      <c r="E166" s="20" t="s">
        <v>388</v>
      </c>
      <c r="F166" s="20" t="s">
        <v>397</v>
      </c>
      <c r="G166" s="33">
        <v>15</v>
      </c>
      <c r="H166" s="34">
        <f>VLOOKUP($C166,'Raw Cost'!$A$1:$B$484,2,FALSE)/G166</f>
        <v>1.3333333333333333</v>
      </c>
      <c r="I166" s="34">
        <f t="shared" si="55"/>
        <v>8.3333333333333329E-2</v>
      </c>
      <c r="J166" s="35">
        <v>10</v>
      </c>
      <c r="K166" s="35">
        <v>0.25</v>
      </c>
      <c r="L166" s="36">
        <f>VLOOKUP($F166,'Packaging Cost'!$A$1:$F$43,6,FALSE)</f>
        <v>3.22</v>
      </c>
      <c r="M166" s="37">
        <f>IF($E166="Snakpak",(($J166*H166)+($K166*'Labor Cost'!$A$2)+L166)+2.25,($J166*H166)+($K166*'Labor Cost'!$A$2)+L166+1)</f>
        <v>23.428333333333331</v>
      </c>
      <c r="N166" s="38">
        <f t="shared" si="56"/>
        <v>29.285416666666663</v>
      </c>
      <c r="O166" s="38">
        <f t="shared" si="57"/>
        <v>30.456833333333332</v>
      </c>
      <c r="P166" s="38">
        <f t="shared" si="58"/>
        <v>31.628249999999998</v>
      </c>
      <c r="Q166" s="38">
        <f t="shared" si="59"/>
        <v>32.79966666666666</v>
      </c>
      <c r="R166" s="38">
        <f t="shared" si="60"/>
        <v>33.971083333333326</v>
      </c>
      <c r="S166" s="38">
        <f t="shared" si="61"/>
        <v>29.25</v>
      </c>
      <c r="T166" s="38">
        <f t="shared" si="62"/>
        <v>30.5</v>
      </c>
      <c r="U166" s="38">
        <f t="shared" si="63"/>
        <v>31.75</v>
      </c>
      <c r="V166" s="38">
        <f t="shared" si="64"/>
        <v>32.75</v>
      </c>
      <c r="W166" s="38">
        <f t="shared" si="65"/>
        <v>34</v>
      </c>
    </row>
    <row r="167" spans="1:23" ht="21" customHeight="1" x14ac:dyDescent="0.2">
      <c r="A167" s="19" t="s">
        <v>173</v>
      </c>
      <c r="B167" s="19" t="s">
        <v>357</v>
      </c>
      <c r="C167" s="20" t="s">
        <v>55</v>
      </c>
      <c r="D167" s="20" t="s">
        <v>384</v>
      </c>
      <c r="E167" s="20" t="s">
        <v>388</v>
      </c>
      <c r="F167" s="20" t="s">
        <v>374</v>
      </c>
      <c r="G167" s="33">
        <v>15</v>
      </c>
      <c r="H167" s="34">
        <f>VLOOKUP($C167,'Raw Cost'!$A$1:$B$484,2,FALSE)/G167</f>
        <v>1.3333333333333333</v>
      </c>
      <c r="I167" s="34">
        <f t="shared" si="55"/>
        <v>8.3333333333333329E-2</v>
      </c>
      <c r="J167" s="35">
        <v>10</v>
      </c>
      <c r="K167" s="35">
        <v>0.25</v>
      </c>
      <c r="L167" s="36">
        <f>VLOOKUP($F167,'Packaging Cost'!$A$1:$F$43,6,FALSE)</f>
        <v>0.9</v>
      </c>
      <c r="M167" s="37">
        <f>IF($E167="Snakpak",(($J167*H167)+($K167*'Labor Cost'!$A$2)+L167)+2.25,($J167*H167)+($K167*'Labor Cost'!$A$2)+L167+1)</f>
        <v>21.108333333333331</v>
      </c>
      <c r="N167" s="38">
        <f t="shared" si="56"/>
        <v>26.385416666666664</v>
      </c>
      <c r="O167" s="38">
        <f t="shared" si="57"/>
        <v>27.44083333333333</v>
      </c>
      <c r="P167" s="38">
        <f t="shared" si="58"/>
        <v>28.49625</v>
      </c>
      <c r="Q167" s="38">
        <f t="shared" si="59"/>
        <v>29.551666666666662</v>
      </c>
      <c r="R167" s="38">
        <f t="shared" si="60"/>
        <v>30.607083333333328</v>
      </c>
      <c r="S167" s="38">
        <f t="shared" si="61"/>
        <v>26.5</v>
      </c>
      <c r="T167" s="38">
        <f t="shared" si="62"/>
        <v>27.5</v>
      </c>
      <c r="U167" s="38">
        <f t="shared" si="63"/>
        <v>28.5</v>
      </c>
      <c r="V167" s="38">
        <f t="shared" si="64"/>
        <v>29.5</v>
      </c>
      <c r="W167" s="38">
        <f t="shared" si="65"/>
        <v>30.5</v>
      </c>
    </row>
    <row r="168" spans="1:23" ht="21" customHeight="1" x14ac:dyDescent="0.2">
      <c r="A168" s="19" t="s">
        <v>360</v>
      </c>
      <c r="B168" s="19" t="s">
        <v>359</v>
      </c>
      <c r="C168" s="20" t="s">
        <v>55</v>
      </c>
      <c r="D168" s="20" t="s">
        <v>384</v>
      </c>
      <c r="E168" s="20" t="s">
        <v>388</v>
      </c>
      <c r="F168" s="20" t="s">
        <v>375</v>
      </c>
      <c r="G168" s="33">
        <v>15</v>
      </c>
      <c r="H168" s="34">
        <f>VLOOKUP($C168,'Raw Cost'!$A$1:$B$484,2,FALSE)/G168</f>
        <v>1.3333333333333333</v>
      </c>
      <c r="I168" s="34">
        <f t="shared" si="55"/>
        <v>8.3333333333333329E-2</v>
      </c>
      <c r="J168" s="35">
        <v>5</v>
      </c>
      <c r="K168" s="35">
        <v>0.15</v>
      </c>
      <c r="L168" s="36">
        <f>VLOOKUP($F168,'Packaging Cost'!$A$1:$F$43,6,FALSE)</f>
        <v>0.59</v>
      </c>
      <c r="M168" s="37">
        <f>IF($E168="Snakpak",(($J168*H168)+($K168*'Labor Cost'!$A$2)+L168)+2.25,($J168*H168)+($K168*'Labor Cost'!$A$2)+L168+1)</f>
        <v>11.781666666666666</v>
      </c>
      <c r="N168" s="38">
        <f t="shared" si="56"/>
        <v>14.727083333333333</v>
      </c>
      <c r="O168" s="38">
        <f t="shared" si="57"/>
        <v>15.316166666666666</v>
      </c>
      <c r="P168" s="38">
        <f t="shared" si="58"/>
        <v>15.905250000000001</v>
      </c>
      <c r="Q168" s="38">
        <f t="shared" si="59"/>
        <v>16.494333333333334</v>
      </c>
      <c r="R168" s="38">
        <f t="shared" si="60"/>
        <v>17.083416666666665</v>
      </c>
      <c r="S168" s="38">
        <f t="shared" si="61"/>
        <v>14.75</v>
      </c>
      <c r="T168" s="38">
        <f t="shared" si="62"/>
        <v>15.25</v>
      </c>
      <c r="U168" s="38">
        <f t="shared" si="63"/>
        <v>16</v>
      </c>
      <c r="V168" s="38">
        <f t="shared" si="64"/>
        <v>16.5</v>
      </c>
      <c r="W168" s="38">
        <f t="shared" si="65"/>
        <v>17</v>
      </c>
    </row>
    <row r="169" spans="1:23" ht="21" customHeight="1" x14ac:dyDescent="0.2">
      <c r="A169" s="19"/>
      <c r="B169" s="19"/>
      <c r="C169" s="20"/>
      <c r="D169" s="20"/>
      <c r="E169" s="20"/>
      <c r="F169" s="20"/>
      <c r="G169" s="33"/>
      <c r="H169" s="34"/>
      <c r="I169" s="34"/>
      <c r="J169" s="35"/>
      <c r="K169" s="35"/>
      <c r="L169" s="36"/>
      <c r="M169" s="37"/>
      <c r="N169" s="38"/>
      <c r="O169" s="38"/>
      <c r="P169" s="38"/>
      <c r="Q169" s="38"/>
      <c r="R169" s="38"/>
      <c r="S169" s="38"/>
      <c r="T169" s="38"/>
      <c r="U169" s="38"/>
      <c r="V169" s="38"/>
      <c r="W169" s="38"/>
    </row>
    <row r="170" spans="1:23" ht="21" customHeight="1" x14ac:dyDescent="0.2">
      <c r="A170" s="45" t="s">
        <v>555</v>
      </c>
      <c r="B170" s="40"/>
      <c r="C170" s="40"/>
      <c r="D170" s="40"/>
      <c r="E170" s="40"/>
      <c r="F170" s="40"/>
      <c r="G170" s="41"/>
      <c r="H170" s="42"/>
      <c r="I170" s="42"/>
      <c r="J170" s="43"/>
      <c r="K170" s="43"/>
      <c r="L170" s="44"/>
      <c r="M170" s="41"/>
      <c r="N170" s="38">
        <f>IF($D170="No",$M170*1.25,($M170*1.25)+15)</f>
        <v>15</v>
      </c>
      <c r="O170" s="38">
        <f>IF($D170="No",$M170*1.3,($M170*1.3)+15)</f>
        <v>15</v>
      </c>
      <c r="P170" s="38">
        <f>IF($D170="No",$M170*1.35,($M170*1.35)+15)</f>
        <v>15</v>
      </c>
      <c r="Q170" s="38">
        <f>IF($D170="No",$M170*1.4,($M170*1.4)+15)</f>
        <v>15</v>
      </c>
      <c r="R170" s="38">
        <f>IF($D170="No",$M170*1.45,($M170*1.45)+15)</f>
        <v>15</v>
      </c>
      <c r="S170" s="43"/>
      <c r="T170" s="43"/>
      <c r="U170" s="43"/>
      <c r="V170" s="41"/>
      <c r="W170" s="41"/>
    </row>
    <row r="171" spans="1:23" ht="21" customHeight="1" x14ac:dyDescent="0.2">
      <c r="A171" s="19" t="s">
        <v>1209</v>
      </c>
      <c r="B171" s="19" t="s">
        <v>177</v>
      </c>
      <c r="C171" s="20" t="s">
        <v>1174</v>
      </c>
      <c r="D171" s="32" t="s">
        <v>384</v>
      </c>
      <c r="E171" s="20" t="s">
        <v>386</v>
      </c>
      <c r="F171" s="20" t="s">
        <v>617</v>
      </c>
      <c r="G171" s="33">
        <v>2</v>
      </c>
      <c r="H171" s="34">
        <f>VLOOKUP($C171,'Raw Cost'!$A$1:$B$484,2,FALSE)/G171</f>
        <v>1.5758620689655172</v>
      </c>
      <c r="I171" s="34">
        <f t="shared" ref="I171:I202" si="66">H171/16</f>
        <v>9.8491379310344823E-2</v>
      </c>
      <c r="J171" s="35">
        <v>6.25</v>
      </c>
      <c r="K171" s="35">
        <v>0.25</v>
      </c>
      <c r="L171" s="36">
        <f>VLOOKUP($F171,'Packaging Cost'!$A$1:$F$43,6,FALSE)</f>
        <v>4.0999999999999996</v>
      </c>
      <c r="M171" s="37">
        <f>IF($E171="Snakpak",(($J171*H171)+($K171*'Labor Cost'!$A$2)+L171)+2.25,($J171*H171)+($K171*'Labor Cost'!$A$2)+L171+1)</f>
        <v>22.074137931034482</v>
      </c>
      <c r="N171" s="38">
        <f t="shared" ref="N171:N202" si="67">IF($D171="No",$M171*1.25,($M171*1.25)+16)</f>
        <v>27.592672413793103</v>
      </c>
      <c r="O171" s="38">
        <f t="shared" ref="O171:O202" si="68">IF($D171="No",$M171*1.3,($M171*1.3)+16)</f>
        <v>28.696379310344827</v>
      </c>
      <c r="P171" s="38">
        <f t="shared" ref="P171:P202" si="69">IF($D171="No",$M171*1.35,($M171*1.35)+16)</f>
        <v>29.800086206896552</v>
      </c>
      <c r="Q171" s="38">
        <f t="shared" ref="Q171:Q202" si="70">IF($D171="No",$M171*1.4,($M171*1.4)+16)</f>
        <v>30.903793103448272</v>
      </c>
      <c r="R171" s="38">
        <f t="shared" ref="R171:R202" si="71">IF($D171="No",$M171*1.45,($M171*1.45)+16)</f>
        <v>32.0075</v>
      </c>
      <c r="S171" s="38">
        <f t="shared" ref="S171:S202" si="72">MROUND(N171,0.25)</f>
        <v>27.5</v>
      </c>
      <c r="T171" s="38">
        <f t="shared" ref="T171:T202" si="73">MROUND(O171,0.25)</f>
        <v>28.75</v>
      </c>
      <c r="U171" s="38">
        <f t="shared" ref="U171:U202" si="74">MROUND(P171,0.25)</f>
        <v>29.75</v>
      </c>
      <c r="V171" s="66">
        <f t="shared" ref="V171:V202" si="75">MROUND(Q171,0.25)</f>
        <v>31</v>
      </c>
      <c r="W171" s="66">
        <f t="shared" ref="W171:W202" si="76">MROUND(R171,0.25)</f>
        <v>32</v>
      </c>
    </row>
    <row r="172" spans="1:23" ht="21" customHeight="1" x14ac:dyDescent="0.2">
      <c r="A172" s="19" t="s">
        <v>1239</v>
      </c>
      <c r="B172" s="19" t="s">
        <v>177</v>
      </c>
      <c r="C172" s="20" t="s">
        <v>1174</v>
      </c>
      <c r="D172" s="32" t="s">
        <v>385</v>
      </c>
      <c r="E172" s="20" t="s">
        <v>386</v>
      </c>
      <c r="F172" s="20" t="s">
        <v>617</v>
      </c>
      <c r="G172" s="33">
        <v>2</v>
      </c>
      <c r="H172" s="34">
        <f>VLOOKUP($C172,'Raw Cost'!$A$1:$B$484,2,FALSE)/G172</f>
        <v>1.5758620689655172</v>
      </c>
      <c r="I172" s="34">
        <f t="shared" si="66"/>
        <v>9.8491379310344823E-2</v>
      </c>
      <c r="J172" s="35">
        <v>6.25</v>
      </c>
      <c r="K172" s="35">
        <v>0.25</v>
      </c>
      <c r="L172" s="36">
        <f>VLOOKUP($F172,'Packaging Cost'!$A$1:$F$43,6,FALSE)</f>
        <v>4.0999999999999996</v>
      </c>
      <c r="M172" s="37">
        <f>IF($E172="Snakpak",(($J172*H172)+($K172*'Labor Cost'!$A$2)+L172)+2.25,($J172*H172)+($K172*'Labor Cost'!$A$2)+L172+1)</f>
        <v>22.074137931034482</v>
      </c>
      <c r="N172" s="38">
        <f t="shared" si="67"/>
        <v>43.592672413793103</v>
      </c>
      <c r="O172" s="38">
        <f t="shared" si="68"/>
        <v>44.696379310344824</v>
      </c>
      <c r="P172" s="38">
        <f t="shared" si="69"/>
        <v>45.800086206896552</v>
      </c>
      <c r="Q172" s="38">
        <f t="shared" si="70"/>
        <v>46.903793103448272</v>
      </c>
      <c r="R172" s="38">
        <f t="shared" si="71"/>
        <v>48.0075</v>
      </c>
      <c r="S172" s="38">
        <f t="shared" si="72"/>
        <v>43.5</v>
      </c>
      <c r="T172" s="38">
        <f t="shared" si="73"/>
        <v>44.75</v>
      </c>
      <c r="U172" s="38">
        <f t="shared" si="74"/>
        <v>45.75</v>
      </c>
      <c r="V172" s="38">
        <f t="shared" si="75"/>
        <v>47</v>
      </c>
      <c r="W172" s="38">
        <f t="shared" si="76"/>
        <v>48</v>
      </c>
    </row>
    <row r="173" spans="1:23" ht="21" customHeight="1" x14ac:dyDescent="0.2">
      <c r="A173" s="19" t="s">
        <v>1208</v>
      </c>
      <c r="B173" s="19" t="s">
        <v>177</v>
      </c>
      <c r="C173" s="20" t="s">
        <v>1173</v>
      </c>
      <c r="D173" s="32" t="s">
        <v>384</v>
      </c>
      <c r="E173" s="20" t="s">
        <v>386</v>
      </c>
      <c r="F173" s="20" t="s">
        <v>617</v>
      </c>
      <c r="G173" s="33">
        <v>2</v>
      </c>
      <c r="H173" s="34">
        <f>VLOOKUP($C173,'Raw Cost'!$A$1:$B$484,2,FALSE)/G173</f>
        <v>1.2044334975369457</v>
      </c>
      <c r="I173" s="34">
        <f t="shared" si="66"/>
        <v>7.5277093596059108E-2</v>
      </c>
      <c r="J173" s="35">
        <v>6.25</v>
      </c>
      <c r="K173" s="35">
        <v>0.25</v>
      </c>
      <c r="L173" s="36">
        <f>VLOOKUP($F173,'Packaging Cost'!$A$1:$F$43,6,FALSE)</f>
        <v>4.0999999999999996</v>
      </c>
      <c r="M173" s="37">
        <f>IF($E173="Snakpak",(($J173*H173)+($K173*'Labor Cost'!$A$2)+L173)+2.25,($J173*H173)+($K173*'Labor Cost'!$A$2)+L173+1)</f>
        <v>19.752709359605909</v>
      </c>
      <c r="N173" s="38">
        <f t="shared" si="67"/>
        <v>24.690886699507388</v>
      </c>
      <c r="O173" s="38">
        <f t="shared" si="68"/>
        <v>25.678522167487682</v>
      </c>
      <c r="P173" s="38">
        <f t="shared" si="69"/>
        <v>26.666157635467979</v>
      </c>
      <c r="Q173" s="38">
        <f t="shared" si="70"/>
        <v>27.653793103448272</v>
      </c>
      <c r="R173" s="38">
        <f t="shared" si="71"/>
        <v>28.641428571428566</v>
      </c>
      <c r="S173" s="38">
        <f t="shared" si="72"/>
        <v>24.75</v>
      </c>
      <c r="T173" s="38">
        <f t="shared" si="73"/>
        <v>25.75</v>
      </c>
      <c r="U173" s="38">
        <f t="shared" si="74"/>
        <v>26.75</v>
      </c>
      <c r="V173" s="38">
        <f t="shared" si="75"/>
        <v>27.75</v>
      </c>
      <c r="W173" s="38">
        <f t="shared" si="76"/>
        <v>28.75</v>
      </c>
    </row>
    <row r="174" spans="1:23" ht="21" customHeight="1" x14ac:dyDescent="0.2">
      <c r="A174" s="19" t="s">
        <v>1240</v>
      </c>
      <c r="B174" s="19" t="s">
        <v>177</v>
      </c>
      <c r="C174" s="20" t="s">
        <v>1173</v>
      </c>
      <c r="D174" s="32" t="s">
        <v>385</v>
      </c>
      <c r="E174" s="20" t="s">
        <v>386</v>
      </c>
      <c r="F174" s="20" t="s">
        <v>617</v>
      </c>
      <c r="G174" s="33">
        <v>2</v>
      </c>
      <c r="H174" s="34">
        <f>VLOOKUP($C174,'Raw Cost'!$A$1:$B$484,2,FALSE)/G174</f>
        <v>1.2044334975369457</v>
      </c>
      <c r="I174" s="34">
        <f t="shared" si="66"/>
        <v>7.5277093596059108E-2</v>
      </c>
      <c r="J174" s="35">
        <v>6.25</v>
      </c>
      <c r="K174" s="35">
        <v>0.25</v>
      </c>
      <c r="L174" s="36">
        <f>VLOOKUP($F174,'Packaging Cost'!$A$1:$F$43,6,FALSE)</f>
        <v>4.0999999999999996</v>
      </c>
      <c r="M174" s="37">
        <f>IF($E174="Snakpak",(($J174*H174)+($K174*'Labor Cost'!$A$2)+L174)+2.25,($J174*H174)+($K174*'Labor Cost'!$A$2)+L174+1)</f>
        <v>19.752709359605909</v>
      </c>
      <c r="N174" s="38">
        <f t="shared" si="67"/>
        <v>40.690886699507388</v>
      </c>
      <c r="O174" s="38">
        <f t="shared" si="68"/>
        <v>41.678522167487685</v>
      </c>
      <c r="P174" s="38">
        <f t="shared" si="69"/>
        <v>42.666157635467982</v>
      </c>
      <c r="Q174" s="38">
        <f t="shared" si="70"/>
        <v>43.653793103448272</v>
      </c>
      <c r="R174" s="38">
        <f t="shared" si="71"/>
        <v>44.641428571428563</v>
      </c>
      <c r="S174" s="38">
        <f t="shared" si="72"/>
        <v>40.75</v>
      </c>
      <c r="T174" s="38">
        <f t="shared" si="73"/>
        <v>41.75</v>
      </c>
      <c r="U174" s="38">
        <f t="shared" si="74"/>
        <v>42.75</v>
      </c>
      <c r="V174" s="38">
        <f t="shared" si="75"/>
        <v>43.75</v>
      </c>
      <c r="W174" s="38">
        <f t="shared" si="76"/>
        <v>44.75</v>
      </c>
    </row>
    <row r="175" spans="1:23" ht="21" customHeight="1" x14ac:dyDescent="0.2">
      <c r="A175" s="19" t="s">
        <v>1207</v>
      </c>
      <c r="B175" s="19" t="s">
        <v>231</v>
      </c>
      <c r="C175" s="20" t="s">
        <v>1203</v>
      </c>
      <c r="D175" s="32" t="s">
        <v>384</v>
      </c>
      <c r="E175" s="20" t="s">
        <v>386</v>
      </c>
      <c r="F175" s="20" t="s">
        <v>617</v>
      </c>
      <c r="G175" s="33">
        <v>2</v>
      </c>
      <c r="H175" s="34">
        <f>VLOOKUP($C175,'Raw Cost'!$A$1:$B$484,2,FALSE)/G175</f>
        <v>1.803639846743295</v>
      </c>
      <c r="I175" s="34">
        <f t="shared" si="66"/>
        <v>0.11272749042145594</v>
      </c>
      <c r="J175" s="35">
        <v>7.13</v>
      </c>
      <c r="K175" s="35">
        <v>0.25</v>
      </c>
      <c r="L175" s="36">
        <f>VLOOKUP($F175,'Packaging Cost'!$A$1:$F$43,6,FALSE)</f>
        <v>4.0999999999999996</v>
      </c>
      <c r="M175" s="37">
        <f>IF($E175="Snakpak",(($J175*H175)+($K175*'Labor Cost'!$A$2)+L175)+2.25,($J175*H175)+($K175*'Labor Cost'!$A$2)+L175+1)</f>
        <v>25.08495210727969</v>
      </c>
      <c r="N175" s="38">
        <f t="shared" si="67"/>
        <v>31.356190134099613</v>
      </c>
      <c r="O175" s="38">
        <f t="shared" si="68"/>
        <v>32.610437739463599</v>
      </c>
      <c r="P175" s="38">
        <f t="shared" si="69"/>
        <v>33.864685344827585</v>
      </c>
      <c r="Q175" s="38">
        <f t="shared" si="70"/>
        <v>35.118932950191564</v>
      </c>
      <c r="R175" s="38">
        <f t="shared" si="71"/>
        <v>36.37318055555555</v>
      </c>
      <c r="S175" s="38">
        <f t="shared" si="72"/>
        <v>31.25</v>
      </c>
      <c r="T175" s="38">
        <f t="shared" si="73"/>
        <v>32.5</v>
      </c>
      <c r="U175" s="38">
        <f t="shared" si="74"/>
        <v>33.75</v>
      </c>
      <c r="V175" s="38">
        <f t="shared" si="75"/>
        <v>35</v>
      </c>
      <c r="W175" s="38">
        <f t="shared" si="76"/>
        <v>36.25</v>
      </c>
    </row>
    <row r="176" spans="1:23" ht="21" customHeight="1" x14ac:dyDescent="0.2">
      <c r="A176" s="19" t="s">
        <v>498</v>
      </c>
      <c r="B176" s="19" t="s">
        <v>178</v>
      </c>
      <c r="C176" s="32" t="s">
        <v>0</v>
      </c>
      <c r="D176" s="20" t="s">
        <v>384</v>
      </c>
      <c r="E176" s="20" t="s">
        <v>386</v>
      </c>
      <c r="F176" s="20" t="s">
        <v>618</v>
      </c>
      <c r="G176" s="33">
        <v>29</v>
      </c>
      <c r="H176" s="34">
        <f>VLOOKUP($C176,'Raw Cost'!$A$1:$B$484,2,FALSE)/G176</f>
        <v>1.3103448275862069</v>
      </c>
      <c r="I176" s="34">
        <f t="shared" si="66"/>
        <v>8.1896551724137928E-2</v>
      </c>
      <c r="J176" s="35">
        <v>12.5</v>
      </c>
      <c r="K176" s="35">
        <v>0.25</v>
      </c>
      <c r="L176" s="36">
        <f>VLOOKUP($F176,'Packaging Cost'!$A$1:$F$43,6,FALSE)</f>
        <v>7.35</v>
      </c>
      <c r="M176" s="37">
        <f>IF($E176="Snakpak",(($J176*H176)+($K176*'Labor Cost'!$A$2)+L176)+2.25,($J176*H176)+($K176*'Labor Cost'!$A$2)+L176+1)</f>
        <v>31.854310344827589</v>
      </c>
      <c r="N176" s="38">
        <f t="shared" si="67"/>
        <v>39.817887931034484</v>
      </c>
      <c r="O176" s="38">
        <f t="shared" si="68"/>
        <v>41.410603448275864</v>
      </c>
      <c r="P176" s="38">
        <f t="shared" si="69"/>
        <v>43.003318965517245</v>
      </c>
      <c r="Q176" s="38">
        <f t="shared" si="70"/>
        <v>44.596034482758618</v>
      </c>
      <c r="R176" s="38">
        <f t="shared" si="71"/>
        <v>46.188749999999999</v>
      </c>
      <c r="S176" s="38">
        <f t="shared" si="72"/>
        <v>39.75</v>
      </c>
      <c r="T176" s="38">
        <f t="shared" si="73"/>
        <v>41.5</v>
      </c>
      <c r="U176" s="38">
        <f t="shared" si="74"/>
        <v>43</v>
      </c>
      <c r="V176" s="38">
        <f t="shared" si="75"/>
        <v>44.5</v>
      </c>
      <c r="W176" s="38">
        <f t="shared" si="76"/>
        <v>46.25</v>
      </c>
    </row>
    <row r="177" spans="1:23" ht="21" customHeight="1" x14ac:dyDescent="0.2">
      <c r="A177" s="19" t="s">
        <v>497</v>
      </c>
      <c r="B177" s="19" t="s">
        <v>179</v>
      </c>
      <c r="C177" s="32" t="s">
        <v>0</v>
      </c>
      <c r="D177" s="20" t="s">
        <v>384</v>
      </c>
      <c r="E177" s="20" t="s">
        <v>386</v>
      </c>
      <c r="F177" s="20" t="s">
        <v>617</v>
      </c>
      <c r="G177" s="33">
        <v>29</v>
      </c>
      <c r="H177" s="34">
        <f>VLOOKUP($C177,'Raw Cost'!$A$1:$B$484,2,FALSE)/G177</f>
        <v>1.3103448275862069</v>
      </c>
      <c r="I177" s="34">
        <f t="shared" si="66"/>
        <v>8.1896551724137928E-2</v>
      </c>
      <c r="J177" s="35">
        <v>6.25</v>
      </c>
      <c r="K177" s="35">
        <v>0.25</v>
      </c>
      <c r="L177" s="36">
        <f>VLOOKUP($F177,'Packaging Cost'!$A$1:$F$43,6,FALSE)</f>
        <v>4.0999999999999996</v>
      </c>
      <c r="M177" s="37">
        <f>IF($E177="Snakpak",(($J177*H177)+($K177*'Labor Cost'!$A$2)+L177)+2.25,($J177*H177)+($K177*'Labor Cost'!$A$2)+L177+1)</f>
        <v>20.414655172413795</v>
      </c>
      <c r="N177" s="38">
        <f t="shared" si="67"/>
        <v>25.518318965517246</v>
      </c>
      <c r="O177" s="38">
        <f t="shared" si="68"/>
        <v>26.539051724137934</v>
      </c>
      <c r="P177" s="38">
        <f t="shared" si="69"/>
        <v>27.559784482758626</v>
      </c>
      <c r="Q177" s="38">
        <f t="shared" si="70"/>
        <v>28.580517241379312</v>
      </c>
      <c r="R177" s="38">
        <f t="shared" si="71"/>
        <v>29.60125</v>
      </c>
      <c r="S177" s="38">
        <f t="shared" si="72"/>
        <v>25.5</v>
      </c>
      <c r="T177" s="38">
        <f t="shared" si="73"/>
        <v>26.5</v>
      </c>
      <c r="U177" s="38">
        <f t="shared" si="74"/>
        <v>27.5</v>
      </c>
      <c r="V177" s="38">
        <f t="shared" si="75"/>
        <v>28.5</v>
      </c>
      <c r="W177" s="38">
        <f t="shared" si="76"/>
        <v>29.5</v>
      </c>
    </row>
    <row r="178" spans="1:23" ht="21" customHeight="1" x14ac:dyDescent="0.2">
      <c r="A178" s="19" t="s">
        <v>1206</v>
      </c>
      <c r="B178" s="19" t="s">
        <v>177</v>
      </c>
      <c r="C178" s="20" t="s">
        <v>1172</v>
      </c>
      <c r="D178" s="32" t="s">
        <v>384</v>
      </c>
      <c r="E178" s="20" t="s">
        <v>386</v>
      </c>
      <c r="F178" s="20" t="s">
        <v>617</v>
      </c>
      <c r="G178" s="33">
        <v>2</v>
      </c>
      <c r="H178" s="34">
        <f>VLOOKUP($C178,'Raw Cost'!$A$1:$B$484,2,FALSE)/G178</f>
        <v>1.4482758620689655</v>
      </c>
      <c r="I178" s="34">
        <f t="shared" si="66"/>
        <v>9.0517241379310345E-2</v>
      </c>
      <c r="J178" s="35">
        <v>6.25</v>
      </c>
      <c r="K178" s="35">
        <v>0.25</v>
      </c>
      <c r="L178" s="36">
        <f>VLOOKUP($F178,'Packaging Cost'!$A$1:$F$43,6,FALSE)</f>
        <v>4.0999999999999996</v>
      </c>
      <c r="M178" s="37">
        <f>IF($E178="Snakpak",(($J178*H178)+($K178*'Labor Cost'!$A$2)+L178)+2.25,($J178*H178)+($K178*'Labor Cost'!$A$2)+L178+1)</f>
        <v>21.276724137931033</v>
      </c>
      <c r="N178" s="38">
        <f t="shared" si="67"/>
        <v>26.595905172413794</v>
      </c>
      <c r="O178" s="38">
        <f t="shared" si="68"/>
        <v>27.659741379310343</v>
      </c>
      <c r="P178" s="38">
        <f t="shared" si="69"/>
        <v>28.723577586206897</v>
      </c>
      <c r="Q178" s="38">
        <f t="shared" si="70"/>
        <v>29.787413793103443</v>
      </c>
      <c r="R178" s="38">
        <f t="shared" si="71"/>
        <v>30.851249999999997</v>
      </c>
      <c r="S178" s="38">
        <f t="shared" si="72"/>
        <v>26.5</v>
      </c>
      <c r="T178" s="38">
        <f t="shared" si="73"/>
        <v>27.75</v>
      </c>
      <c r="U178" s="38">
        <f t="shared" si="74"/>
        <v>28.75</v>
      </c>
      <c r="V178" s="38">
        <f t="shared" si="75"/>
        <v>29.75</v>
      </c>
      <c r="W178" s="38">
        <f t="shared" si="76"/>
        <v>30.75</v>
      </c>
    </row>
    <row r="179" spans="1:23" ht="21" customHeight="1" x14ac:dyDescent="0.2">
      <c r="A179" s="19" t="s">
        <v>496</v>
      </c>
      <c r="B179" s="19" t="s">
        <v>176</v>
      </c>
      <c r="C179" s="20" t="s">
        <v>1029</v>
      </c>
      <c r="D179" s="32" t="s">
        <v>384</v>
      </c>
      <c r="E179" s="20" t="s">
        <v>386</v>
      </c>
      <c r="F179" s="20" t="s">
        <v>618</v>
      </c>
      <c r="G179" s="33">
        <v>29</v>
      </c>
      <c r="H179" s="34">
        <f>VLOOKUP($C179,'Raw Cost'!$A$1:$B$484,2,FALSE)/G179</f>
        <v>0.82758620689655171</v>
      </c>
      <c r="I179" s="34">
        <f t="shared" si="66"/>
        <v>5.1724137931034482E-2</v>
      </c>
      <c r="J179" s="35">
        <v>12.5</v>
      </c>
      <c r="K179" s="35">
        <v>0.25</v>
      </c>
      <c r="L179" s="36">
        <f>VLOOKUP($F179,'Packaging Cost'!$A$1:$F$43,6,FALSE)</f>
        <v>7.35</v>
      </c>
      <c r="M179" s="37">
        <f>IF($E179="Snakpak",(($J179*H179)+($K179*'Labor Cost'!$A$2)+L179)+2.25,($J179*H179)+($K179*'Labor Cost'!$A$2)+L179+1)</f>
        <v>25.819827586206898</v>
      </c>
      <c r="N179" s="38">
        <f t="shared" si="67"/>
        <v>32.274784482758619</v>
      </c>
      <c r="O179" s="38">
        <f t="shared" si="68"/>
        <v>33.565775862068968</v>
      </c>
      <c r="P179" s="38">
        <f t="shared" si="69"/>
        <v>34.856767241379316</v>
      </c>
      <c r="Q179" s="38">
        <f t="shared" si="70"/>
        <v>36.147758620689658</v>
      </c>
      <c r="R179" s="38">
        <f t="shared" si="71"/>
        <v>37.438749999999999</v>
      </c>
      <c r="S179" s="38">
        <f t="shared" si="72"/>
        <v>32.25</v>
      </c>
      <c r="T179" s="38">
        <f t="shared" si="73"/>
        <v>33.5</v>
      </c>
      <c r="U179" s="38">
        <f t="shared" si="74"/>
        <v>34.75</v>
      </c>
      <c r="V179" s="38">
        <f t="shared" si="75"/>
        <v>36.25</v>
      </c>
      <c r="W179" s="38">
        <f t="shared" si="76"/>
        <v>37.5</v>
      </c>
    </row>
    <row r="180" spans="1:23" ht="21" customHeight="1" x14ac:dyDescent="0.2">
      <c r="A180" s="19" t="s">
        <v>495</v>
      </c>
      <c r="B180" s="19" t="s">
        <v>177</v>
      </c>
      <c r="C180" s="20" t="s">
        <v>1029</v>
      </c>
      <c r="D180" s="32" t="s">
        <v>384</v>
      </c>
      <c r="E180" s="20" t="s">
        <v>386</v>
      </c>
      <c r="F180" s="20" t="s">
        <v>617</v>
      </c>
      <c r="G180" s="33">
        <v>29</v>
      </c>
      <c r="H180" s="34">
        <f>VLOOKUP($C180,'Raw Cost'!$A$1:$B$484,2,FALSE)/G180</f>
        <v>0.82758620689655171</v>
      </c>
      <c r="I180" s="34">
        <f t="shared" si="66"/>
        <v>5.1724137931034482E-2</v>
      </c>
      <c r="J180" s="35">
        <v>6.25</v>
      </c>
      <c r="K180" s="35">
        <v>0.25</v>
      </c>
      <c r="L180" s="36">
        <f>VLOOKUP($F180,'Packaging Cost'!$A$1:$F$43,6,FALSE)</f>
        <v>4.0999999999999996</v>
      </c>
      <c r="M180" s="37">
        <f>IF($E180="Snakpak",(($J180*H180)+($K180*'Labor Cost'!$A$2)+L180)+2.25,($J180*H180)+($K180*'Labor Cost'!$A$2)+L180+1)</f>
        <v>17.397413793103446</v>
      </c>
      <c r="N180" s="38">
        <f t="shared" si="67"/>
        <v>21.74676724137931</v>
      </c>
      <c r="O180" s="38">
        <f t="shared" si="68"/>
        <v>22.616637931034482</v>
      </c>
      <c r="P180" s="38">
        <f t="shared" si="69"/>
        <v>23.486508620689655</v>
      </c>
      <c r="Q180" s="38">
        <f t="shared" si="70"/>
        <v>24.356379310344824</v>
      </c>
      <c r="R180" s="38">
        <f t="shared" si="71"/>
        <v>25.226249999999997</v>
      </c>
      <c r="S180" s="38">
        <f t="shared" si="72"/>
        <v>21.75</v>
      </c>
      <c r="T180" s="38">
        <f t="shared" si="73"/>
        <v>22.5</v>
      </c>
      <c r="U180" s="38">
        <f t="shared" si="74"/>
        <v>23.5</v>
      </c>
      <c r="V180" s="38">
        <f t="shared" si="75"/>
        <v>24.25</v>
      </c>
      <c r="W180" s="38">
        <f t="shared" si="76"/>
        <v>25.25</v>
      </c>
    </row>
    <row r="181" spans="1:23" ht="21" customHeight="1" x14ac:dyDescent="0.2">
      <c r="A181" s="19" t="s">
        <v>1210</v>
      </c>
      <c r="B181" s="19" t="s">
        <v>177</v>
      </c>
      <c r="C181" s="20" t="s">
        <v>1175</v>
      </c>
      <c r="D181" s="32" t="s">
        <v>384</v>
      </c>
      <c r="E181" s="20" t="s">
        <v>386</v>
      </c>
      <c r="F181" s="20" t="s">
        <v>617</v>
      </c>
      <c r="G181" s="33">
        <v>2</v>
      </c>
      <c r="H181" s="34">
        <f>VLOOKUP($C181,'Raw Cost'!$A$1:$B$484,2,FALSE)/G181</f>
        <v>1.4564176245210727</v>
      </c>
      <c r="I181" s="34">
        <f t="shared" si="66"/>
        <v>9.1026101532567044E-2</v>
      </c>
      <c r="J181" s="35">
        <v>6.25</v>
      </c>
      <c r="K181" s="35">
        <v>0.25</v>
      </c>
      <c r="L181" s="36">
        <f>VLOOKUP($F181,'Packaging Cost'!$A$1:$F$43,6,FALSE)</f>
        <v>4.0999999999999996</v>
      </c>
      <c r="M181" s="37">
        <f>IF($E181="Snakpak",(($J181*H181)+($K181*'Labor Cost'!$A$2)+L181)+2.25,($J181*H181)+($K181*'Labor Cost'!$A$2)+L181+1)</f>
        <v>21.327610153256703</v>
      </c>
      <c r="N181" s="38">
        <f t="shared" si="67"/>
        <v>26.659512691570878</v>
      </c>
      <c r="O181" s="38">
        <f t="shared" si="68"/>
        <v>27.725893199233717</v>
      </c>
      <c r="P181" s="38">
        <f t="shared" si="69"/>
        <v>28.792273706896552</v>
      </c>
      <c r="Q181" s="38">
        <f t="shared" si="70"/>
        <v>29.858654214559383</v>
      </c>
      <c r="R181" s="38">
        <f t="shared" si="71"/>
        <v>30.925034722222218</v>
      </c>
      <c r="S181" s="38">
        <f t="shared" si="72"/>
        <v>26.75</v>
      </c>
      <c r="T181" s="38">
        <f t="shared" si="73"/>
        <v>27.75</v>
      </c>
      <c r="U181" s="38">
        <f t="shared" si="74"/>
        <v>28.75</v>
      </c>
      <c r="V181" s="38">
        <f t="shared" si="75"/>
        <v>29.75</v>
      </c>
      <c r="W181" s="38">
        <f t="shared" si="76"/>
        <v>31</v>
      </c>
    </row>
    <row r="182" spans="1:23" ht="21" customHeight="1" x14ac:dyDescent="0.2">
      <c r="A182" s="19" t="s">
        <v>1241</v>
      </c>
      <c r="B182" s="19" t="s">
        <v>177</v>
      </c>
      <c r="C182" s="20" t="s">
        <v>1175</v>
      </c>
      <c r="D182" s="32" t="s">
        <v>385</v>
      </c>
      <c r="E182" s="20" t="s">
        <v>386</v>
      </c>
      <c r="F182" s="20" t="s">
        <v>617</v>
      </c>
      <c r="G182" s="33">
        <v>2</v>
      </c>
      <c r="H182" s="34">
        <f>VLOOKUP($C182,'Raw Cost'!$A$1:$B$484,2,FALSE)/G182</f>
        <v>1.4564176245210727</v>
      </c>
      <c r="I182" s="34">
        <f t="shared" si="66"/>
        <v>9.1026101532567044E-2</v>
      </c>
      <c r="J182" s="35">
        <v>6.25</v>
      </c>
      <c r="K182" s="35">
        <v>0.25</v>
      </c>
      <c r="L182" s="36">
        <f>VLOOKUP($F182,'Packaging Cost'!$A$1:$F$43,6,FALSE)</f>
        <v>4.0999999999999996</v>
      </c>
      <c r="M182" s="37">
        <f>IF($E182="Snakpak",(($J182*H182)+($K182*'Labor Cost'!$A$2)+L182)+2.25,($J182*H182)+($K182*'Labor Cost'!$A$2)+L182+1)</f>
        <v>21.327610153256703</v>
      </c>
      <c r="N182" s="38">
        <f t="shared" si="67"/>
        <v>42.659512691570882</v>
      </c>
      <c r="O182" s="38">
        <f t="shared" si="68"/>
        <v>43.725893199233717</v>
      </c>
      <c r="P182" s="38">
        <f t="shared" si="69"/>
        <v>44.792273706896552</v>
      </c>
      <c r="Q182" s="38">
        <f t="shared" si="70"/>
        <v>45.85865421455938</v>
      </c>
      <c r="R182" s="38">
        <f t="shared" si="71"/>
        <v>46.925034722222222</v>
      </c>
      <c r="S182" s="38">
        <f t="shared" si="72"/>
        <v>42.75</v>
      </c>
      <c r="T182" s="38">
        <f t="shared" si="73"/>
        <v>43.75</v>
      </c>
      <c r="U182" s="38">
        <f t="shared" si="74"/>
        <v>44.75</v>
      </c>
      <c r="V182" s="38">
        <f t="shared" si="75"/>
        <v>45.75</v>
      </c>
      <c r="W182" s="38">
        <f t="shared" si="76"/>
        <v>47</v>
      </c>
    </row>
    <row r="183" spans="1:23" ht="21" customHeight="1" x14ac:dyDescent="0.2">
      <c r="A183" s="19" t="s">
        <v>1168</v>
      </c>
      <c r="B183" s="19" t="s">
        <v>456</v>
      </c>
      <c r="C183" s="20" t="s">
        <v>1169</v>
      </c>
      <c r="D183" s="32" t="s">
        <v>384</v>
      </c>
      <c r="E183" s="20" t="s">
        <v>386</v>
      </c>
      <c r="F183" s="20" t="s">
        <v>401</v>
      </c>
      <c r="G183" s="33">
        <v>2</v>
      </c>
      <c r="H183" s="34">
        <f>VLOOKUP($C183,'Raw Cost'!$A$1:$B$484,2,FALSE)/G183</f>
        <v>2.1875</v>
      </c>
      <c r="I183" s="34">
        <f t="shared" si="66"/>
        <v>0.13671875</v>
      </c>
      <c r="J183" s="35">
        <v>6.25</v>
      </c>
      <c r="K183" s="35">
        <v>0.25</v>
      </c>
      <c r="L183" s="36">
        <f>VLOOKUP($F183,'Packaging Cost'!$A$1:$F$43,6,FALSE)</f>
        <v>2.6</v>
      </c>
      <c r="M183" s="37">
        <f>IF($E183="Snakpak",(($J183*H183)+($K183*'Labor Cost'!$A$2)+L183)+2.25,($J183*H183)+($K183*'Labor Cost'!$A$2)+L183+1)</f>
        <v>24.396875000000001</v>
      </c>
      <c r="N183" s="38">
        <f t="shared" si="67"/>
        <v>30.49609375</v>
      </c>
      <c r="O183" s="38">
        <f t="shared" si="68"/>
        <v>31.715937500000003</v>
      </c>
      <c r="P183" s="38">
        <f t="shared" si="69"/>
        <v>32.935781250000005</v>
      </c>
      <c r="Q183" s="38">
        <f t="shared" si="70"/>
        <v>34.155625000000001</v>
      </c>
      <c r="R183" s="38">
        <f t="shared" si="71"/>
        <v>35.375468750000003</v>
      </c>
      <c r="S183" s="38">
        <f t="shared" si="72"/>
        <v>30.5</v>
      </c>
      <c r="T183" s="38">
        <f t="shared" si="73"/>
        <v>31.75</v>
      </c>
      <c r="U183" s="38">
        <f t="shared" si="74"/>
        <v>33</v>
      </c>
      <c r="V183" s="38">
        <f t="shared" si="75"/>
        <v>34.25</v>
      </c>
      <c r="W183" s="38">
        <f t="shared" si="76"/>
        <v>35.5</v>
      </c>
    </row>
    <row r="184" spans="1:23" ht="21" customHeight="1" x14ac:dyDescent="0.2">
      <c r="A184" s="19" t="s">
        <v>1242</v>
      </c>
      <c r="B184" s="19" t="s">
        <v>456</v>
      </c>
      <c r="C184" s="20" t="s">
        <v>1169</v>
      </c>
      <c r="D184" s="32" t="s">
        <v>385</v>
      </c>
      <c r="E184" s="20" t="s">
        <v>386</v>
      </c>
      <c r="F184" s="20" t="s">
        <v>401</v>
      </c>
      <c r="G184" s="33">
        <v>2</v>
      </c>
      <c r="H184" s="34">
        <f>VLOOKUP($C184,'Raw Cost'!$A$1:$B$484,2,FALSE)/G184</f>
        <v>2.1875</v>
      </c>
      <c r="I184" s="34">
        <f t="shared" si="66"/>
        <v>0.13671875</v>
      </c>
      <c r="J184" s="35">
        <v>6.25</v>
      </c>
      <c r="K184" s="35">
        <v>0.25</v>
      </c>
      <c r="L184" s="36">
        <f>VLOOKUP($F184,'Packaging Cost'!$A$1:$F$43,6,FALSE)</f>
        <v>2.6</v>
      </c>
      <c r="M184" s="37">
        <f>IF($E184="Snakpak",(($J184*H184)+($K184*'Labor Cost'!$A$2)+L184)+2.25,($J184*H184)+($K184*'Labor Cost'!$A$2)+L184+1)</f>
        <v>24.396875000000001</v>
      </c>
      <c r="N184" s="38">
        <f t="shared" si="67"/>
        <v>46.49609375</v>
      </c>
      <c r="O184" s="38">
        <f t="shared" si="68"/>
        <v>47.715937500000003</v>
      </c>
      <c r="P184" s="38">
        <f t="shared" si="69"/>
        <v>48.935781250000005</v>
      </c>
      <c r="Q184" s="38">
        <f t="shared" si="70"/>
        <v>50.155625000000001</v>
      </c>
      <c r="R184" s="38">
        <f t="shared" si="71"/>
        <v>51.375468750000003</v>
      </c>
      <c r="S184" s="38">
        <f t="shared" si="72"/>
        <v>46.5</v>
      </c>
      <c r="T184" s="38">
        <f t="shared" si="73"/>
        <v>47.75</v>
      </c>
      <c r="U184" s="38">
        <f t="shared" si="74"/>
        <v>49</v>
      </c>
      <c r="V184" s="38">
        <f t="shared" si="75"/>
        <v>50.25</v>
      </c>
      <c r="W184" s="38">
        <f t="shared" si="76"/>
        <v>51.5</v>
      </c>
    </row>
    <row r="185" spans="1:23" ht="21" customHeight="1" x14ac:dyDescent="0.2">
      <c r="A185" s="19" t="s">
        <v>499</v>
      </c>
      <c r="B185" s="19" t="s">
        <v>456</v>
      </c>
      <c r="C185" s="20" t="s">
        <v>457</v>
      </c>
      <c r="D185" s="32" t="s">
        <v>384</v>
      </c>
      <c r="E185" s="20" t="s">
        <v>386</v>
      </c>
      <c r="F185" s="20" t="s">
        <v>401</v>
      </c>
      <c r="G185" s="33">
        <v>8.5</v>
      </c>
      <c r="H185" s="34">
        <f>VLOOKUP($C185,'Raw Cost'!$A$1:$B$484,2,FALSE)/G185</f>
        <v>4.2352941176470589</v>
      </c>
      <c r="I185" s="34">
        <f t="shared" si="66"/>
        <v>0.26470588235294118</v>
      </c>
      <c r="J185" s="35">
        <v>6.25</v>
      </c>
      <c r="K185" s="35">
        <v>0.25</v>
      </c>
      <c r="L185" s="36">
        <f>VLOOKUP($F185,'Packaging Cost'!$A$1:$F$43,6,FALSE)</f>
        <v>2.6</v>
      </c>
      <c r="M185" s="37">
        <f>IF($E185="Snakpak",(($J185*H185)+($K185*'Labor Cost'!$A$2)+L185)+2.25,($J185*H185)+($K185*'Labor Cost'!$A$2)+L185+1)</f>
        <v>37.195588235294117</v>
      </c>
      <c r="N185" s="38">
        <f t="shared" si="67"/>
        <v>46.494485294117645</v>
      </c>
      <c r="O185" s="38">
        <f t="shared" si="68"/>
        <v>48.354264705882358</v>
      </c>
      <c r="P185" s="38">
        <f t="shared" si="69"/>
        <v>50.214044117647063</v>
      </c>
      <c r="Q185" s="38">
        <f t="shared" si="70"/>
        <v>52.073823529411762</v>
      </c>
      <c r="R185" s="38">
        <f t="shared" si="71"/>
        <v>53.933602941176467</v>
      </c>
      <c r="S185" s="38">
        <f t="shared" si="72"/>
        <v>46.5</v>
      </c>
      <c r="T185" s="38">
        <f t="shared" si="73"/>
        <v>48.25</v>
      </c>
      <c r="U185" s="38">
        <f t="shared" si="74"/>
        <v>50.25</v>
      </c>
      <c r="V185" s="38">
        <f t="shared" si="75"/>
        <v>52</v>
      </c>
      <c r="W185" s="38">
        <f t="shared" si="76"/>
        <v>54</v>
      </c>
    </row>
    <row r="186" spans="1:23" ht="21" customHeight="1" x14ac:dyDescent="0.2">
      <c r="A186" s="19" t="s">
        <v>1244</v>
      </c>
      <c r="B186" s="19" t="s">
        <v>456</v>
      </c>
      <c r="C186" s="20" t="s">
        <v>457</v>
      </c>
      <c r="D186" s="32" t="s">
        <v>385</v>
      </c>
      <c r="E186" s="20" t="s">
        <v>386</v>
      </c>
      <c r="F186" s="20" t="s">
        <v>401</v>
      </c>
      <c r="G186" s="33">
        <v>8.5</v>
      </c>
      <c r="H186" s="34">
        <f>VLOOKUP($C186,'Raw Cost'!$A$1:$B$484,2,FALSE)/G186</f>
        <v>4.2352941176470589</v>
      </c>
      <c r="I186" s="34">
        <f t="shared" si="66"/>
        <v>0.26470588235294118</v>
      </c>
      <c r="J186" s="35">
        <v>6.25</v>
      </c>
      <c r="K186" s="35">
        <v>0.25</v>
      </c>
      <c r="L186" s="36">
        <f>VLOOKUP($F186,'Packaging Cost'!$A$1:$F$43,6,FALSE)</f>
        <v>2.6</v>
      </c>
      <c r="M186" s="37">
        <f>IF($E186="Snakpak",(($J186*H186)+($K186*'Labor Cost'!$A$2)+L186)+2.25,($J186*H186)+($K186*'Labor Cost'!$A$2)+L186+1)</f>
        <v>37.195588235294117</v>
      </c>
      <c r="N186" s="38">
        <f t="shared" si="67"/>
        <v>62.494485294117645</v>
      </c>
      <c r="O186" s="38">
        <f t="shared" si="68"/>
        <v>64.354264705882358</v>
      </c>
      <c r="P186" s="38">
        <f t="shared" si="69"/>
        <v>66.214044117647063</v>
      </c>
      <c r="Q186" s="38">
        <f t="shared" si="70"/>
        <v>68.073823529411754</v>
      </c>
      <c r="R186" s="38">
        <f t="shared" si="71"/>
        <v>69.933602941176474</v>
      </c>
      <c r="S186" s="38">
        <f t="shared" si="72"/>
        <v>62.5</v>
      </c>
      <c r="T186" s="38">
        <f t="shared" si="73"/>
        <v>64.25</v>
      </c>
      <c r="U186" s="38">
        <f t="shared" si="74"/>
        <v>66.25</v>
      </c>
      <c r="V186" s="38">
        <f t="shared" si="75"/>
        <v>68</v>
      </c>
      <c r="W186" s="38">
        <f t="shared" si="76"/>
        <v>70</v>
      </c>
    </row>
    <row r="187" spans="1:23" ht="21" customHeight="1" x14ac:dyDescent="0.2">
      <c r="A187" s="19" t="s">
        <v>500</v>
      </c>
      <c r="B187" s="19" t="s">
        <v>200</v>
      </c>
      <c r="C187" s="32" t="s">
        <v>12</v>
      </c>
      <c r="D187" s="32" t="s">
        <v>384</v>
      </c>
      <c r="E187" s="20" t="s">
        <v>386</v>
      </c>
      <c r="F187" s="20" t="s">
        <v>402</v>
      </c>
      <c r="G187" s="33">
        <v>30</v>
      </c>
      <c r="H187" s="34">
        <f>VLOOKUP($C187,'Raw Cost'!$A$1:$B$484,2,FALSE)/G187</f>
        <v>1.2333333333333334</v>
      </c>
      <c r="I187" s="34">
        <f t="shared" si="66"/>
        <v>7.7083333333333337E-2</v>
      </c>
      <c r="J187" s="35">
        <v>12.5</v>
      </c>
      <c r="K187" s="35">
        <v>0.25</v>
      </c>
      <c r="L187" s="36">
        <f>VLOOKUP($F187,'Packaging Cost'!$A$1:$F$43,6,FALSE)</f>
        <v>4.3499999999999996</v>
      </c>
      <c r="M187" s="37">
        <f>IF($E187="Snakpak",(($J187*H187)+($K187*'Labor Cost'!$A$2)+L187)+2.25,($J187*H187)+($K187*'Labor Cost'!$A$2)+L187+1)</f>
        <v>27.891666666666666</v>
      </c>
      <c r="N187" s="38">
        <f t="shared" si="67"/>
        <v>34.864583333333329</v>
      </c>
      <c r="O187" s="38">
        <f t="shared" si="68"/>
        <v>36.259166666666665</v>
      </c>
      <c r="P187" s="38">
        <f t="shared" si="69"/>
        <v>37.653750000000002</v>
      </c>
      <c r="Q187" s="38">
        <f t="shared" si="70"/>
        <v>39.048333333333332</v>
      </c>
      <c r="R187" s="38">
        <f t="shared" si="71"/>
        <v>40.442916666666662</v>
      </c>
      <c r="S187" s="38">
        <f t="shared" si="72"/>
        <v>34.75</v>
      </c>
      <c r="T187" s="38">
        <f t="shared" si="73"/>
        <v>36.25</v>
      </c>
      <c r="U187" s="38">
        <f t="shared" si="74"/>
        <v>37.75</v>
      </c>
      <c r="V187" s="38">
        <f t="shared" si="75"/>
        <v>39</v>
      </c>
      <c r="W187" s="38">
        <f t="shared" si="76"/>
        <v>40.5</v>
      </c>
    </row>
    <row r="188" spans="1:23" ht="21" customHeight="1" x14ac:dyDescent="0.2">
      <c r="A188" s="19" t="s">
        <v>501</v>
      </c>
      <c r="B188" s="19" t="s">
        <v>201</v>
      </c>
      <c r="C188" s="32" t="s">
        <v>12</v>
      </c>
      <c r="D188" s="32" t="s">
        <v>384</v>
      </c>
      <c r="E188" s="20" t="s">
        <v>386</v>
      </c>
      <c r="F188" s="20" t="s">
        <v>401</v>
      </c>
      <c r="G188" s="33">
        <v>30</v>
      </c>
      <c r="H188" s="34">
        <f>VLOOKUP($C188,'Raw Cost'!$A$1:$B$484,2,FALSE)/G188</f>
        <v>1.2333333333333334</v>
      </c>
      <c r="I188" s="34">
        <f t="shared" si="66"/>
        <v>7.7083333333333337E-2</v>
      </c>
      <c r="J188" s="35">
        <v>6.25</v>
      </c>
      <c r="K188" s="35">
        <v>0.25</v>
      </c>
      <c r="L188" s="36">
        <f>VLOOKUP($F188,'Packaging Cost'!$A$1:$F$43,6,FALSE)</f>
        <v>2.6</v>
      </c>
      <c r="M188" s="37">
        <f>IF($E188="Snakpak",(($J188*H188)+($K188*'Labor Cost'!$A$2)+L188)+2.25,($J188*H188)+($K188*'Labor Cost'!$A$2)+L188+1)</f>
        <v>18.433333333333334</v>
      </c>
      <c r="N188" s="38">
        <f t="shared" si="67"/>
        <v>23.041666666666668</v>
      </c>
      <c r="O188" s="38">
        <f t="shared" si="68"/>
        <v>23.963333333333335</v>
      </c>
      <c r="P188" s="38">
        <f t="shared" si="69"/>
        <v>24.885000000000002</v>
      </c>
      <c r="Q188" s="38">
        <f t="shared" si="70"/>
        <v>25.806666666666665</v>
      </c>
      <c r="R188" s="38">
        <f t="shared" si="71"/>
        <v>26.728333333333332</v>
      </c>
      <c r="S188" s="38">
        <f t="shared" si="72"/>
        <v>23</v>
      </c>
      <c r="T188" s="38">
        <f t="shared" si="73"/>
        <v>24</v>
      </c>
      <c r="U188" s="38">
        <f t="shared" si="74"/>
        <v>25</v>
      </c>
      <c r="V188" s="38">
        <f t="shared" si="75"/>
        <v>25.75</v>
      </c>
      <c r="W188" s="38">
        <f t="shared" si="76"/>
        <v>26.75</v>
      </c>
    </row>
    <row r="189" spans="1:23" ht="21" customHeight="1" x14ac:dyDescent="0.2">
      <c r="A189" s="19" t="s">
        <v>1243</v>
      </c>
      <c r="B189" s="19" t="s">
        <v>202</v>
      </c>
      <c r="C189" s="32" t="s">
        <v>12</v>
      </c>
      <c r="D189" s="32" t="s">
        <v>385</v>
      </c>
      <c r="E189" s="20" t="s">
        <v>386</v>
      </c>
      <c r="F189" s="20" t="s">
        <v>401</v>
      </c>
      <c r="G189" s="33">
        <v>30</v>
      </c>
      <c r="H189" s="34">
        <f>VLOOKUP($C189,'Raw Cost'!$A$1:$B$484,2,FALSE)/G189</f>
        <v>1.2333333333333334</v>
      </c>
      <c r="I189" s="34">
        <f t="shared" si="66"/>
        <v>7.7083333333333337E-2</v>
      </c>
      <c r="J189" s="35">
        <v>6.25</v>
      </c>
      <c r="K189" s="35">
        <v>0.25</v>
      </c>
      <c r="L189" s="36">
        <f>VLOOKUP($F189,'Packaging Cost'!$A$1:$F$43,6,FALSE)</f>
        <v>2.6</v>
      </c>
      <c r="M189" s="37">
        <f>IF($E189="Snakpak",(($J189*H189)+($K189*'Labor Cost'!$A$2)+L189)+2.25,($J189*H189)+($K189*'Labor Cost'!$A$2)+L189+1)</f>
        <v>18.433333333333334</v>
      </c>
      <c r="N189" s="38">
        <f t="shared" si="67"/>
        <v>39.041666666666671</v>
      </c>
      <c r="O189" s="38">
        <f t="shared" si="68"/>
        <v>39.963333333333338</v>
      </c>
      <c r="P189" s="38">
        <f t="shared" si="69"/>
        <v>40.885000000000005</v>
      </c>
      <c r="Q189" s="38">
        <f t="shared" si="70"/>
        <v>41.806666666666665</v>
      </c>
      <c r="R189" s="38">
        <f t="shared" si="71"/>
        <v>42.728333333333332</v>
      </c>
      <c r="S189" s="38">
        <f t="shared" si="72"/>
        <v>39</v>
      </c>
      <c r="T189" s="38">
        <f t="shared" si="73"/>
        <v>40</v>
      </c>
      <c r="U189" s="38">
        <f t="shared" si="74"/>
        <v>41</v>
      </c>
      <c r="V189" s="38">
        <f t="shared" si="75"/>
        <v>41.75</v>
      </c>
      <c r="W189" s="38">
        <f t="shared" si="76"/>
        <v>42.75</v>
      </c>
    </row>
    <row r="190" spans="1:23" ht="21" customHeight="1" x14ac:dyDescent="0.2">
      <c r="A190" s="19" t="s">
        <v>459</v>
      </c>
      <c r="B190" s="19" t="s">
        <v>460</v>
      </c>
      <c r="C190" s="32" t="s">
        <v>442</v>
      </c>
      <c r="D190" s="32" t="s">
        <v>384</v>
      </c>
      <c r="E190" s="20" t="s">
        <v>386</v>
      </c>
      <c r="F190" s="20" t="s">
        <v>401</v>
      </c>
      <c r="G190" s="33">
        <v>22.5</v>
      </c>
      <c r="H190" s="34">
        <f>VLOOKUP($C190,'Raw Cost'!$A$1:$B$484,2,FALSE)/G190</f>
        <v>1.8888888888888888</v>
      </c>
      <c r="I190" s="34">
        <f t="shared" si="66"/>
        <v>0.11805555555555555</v>
      </c>
      <c r="J190" s="35">
        <v>6.25</v>
      </c>
      <c r="K190" s="35">
        <v>0.25</v>
      </c>
      <c r="L190" s="36">
        <f>VLOOKUP($F190,'Packaging Cost'!$A$1:$F$43,6,FALSE)</f>
        <v>2.6</v>
      </c>
      <c r="M190" s="37">
        <f>IF($E190="Snakpak",(($J190*H190)+($K190*'Labor Cost'!$A$2)+L190)+2.25,($J190*H190)+($K190*'Labor Cost'!$A$2)+L190+1)</f>
        <v>22.530555555555559</v>
      </c>
      <c r="N190" s="38">
        <f t="shared" si="67"/>
        <v>28.16319444444445</v>
      </c>
      <c r="O190" s="38">
        <f t="shared" si="68"/>
        <v>29.289722222222228</v>
      </c>
      <c r="P190" s="38">
        <f t="shared" si="69"/>
        <v>30.416250000000005</v>
      </c>
      <c r="Q190" s="38">
        <f t="shared" si="70"/>
        <v>31.542777777777779</v>
      </c>
      <c r="R190" s="38">
        <f t="shared" si="71"/>
        <v>32.66930555555556</v>
      </c>
      <c r="S190" s="38">
        <f t="shared" si="72"/>
        <v>28.25</v>
      </c>
      <c r="T190" s="38">
        <f t="shared" si="73"/>
        <v>29.25</v>
      </c>
      <c r="U190" s="38">
        <f t="shared" si="74"/>
        <v>30.5</v>
      </c>
      <c r="V190" s="38">
        <f t="shared" si="75"/>
        <v>31.5</v>
      </c>
      <c r="W190" s="38">
        <f t="shared" si="76"/>
        <v>32.75</v>
      </c>
    </row>
    <row r="191" spans="1:23" ht="21" customHeight="1" x14ac:dyDescent="0.2">
      <c r="A191" s="19" t="s">
        <v>507</v>
      </c>
      <c r="B191" s="19" t="s">
        <v>437</v>
      </c>
      <c r="C191" s="20" t="s">
        <v>573</v>
      </c>
      <c r="D191" s="32" t="s">
        <v>384</v>
      </c>
      <c r="E191" s="20" t="s">
        <v>386</v>
      </c>
      <c r="F191" s="20" t="s">
        <v>401</v>
      </c>
      <c r="G191" s="33">
        <v>18</v>
      </c>
      <c r="H191" s="34">
        <f>VLOOKUP($C191,'Raw Cost'!$A$1:$B$484,2,FALSE)/G191</f>
        <v>1.8888888888888888</v>
      </c>
      <c r="I191" s="34">
        <f t="shared" si="66"/>
        <v>0.11805555555555555</v>
      </c>
      <c r="J191" s="35">
        <v>6.25</v>
      </c>
      <c r="K191" s="35">
        <v>0.3</v>
      </c>
      <c r="L191" s="36">
        <f>VLOOKUP($F191,'Packaging Cost'!$A$1:$F$43,6,FALSE)</f>
        <v>2.6</v>
      </c>
      <c r="M191" s="37">
        <f>IF($E191="Snakpak",(($J191*H191)+($K191*'Labor Cost'!$A$2)+L191)+2.25,($J191*H191)+($K191*'Labor Cost'!$A$2)+L191+1)</f>
        <v>23.705555555555556</v>
      </c>
      <c r="N191" s="38">
        <f t="shared" si="67"/>
        <v>29.631944444444443</v>
      </c>
      <c r="O191" s="38">
        <f t="shared" si="68"/>
        <v>30.817222222222224</v>
      </c>
      <c r="P191" s="38">
        <f t="shared" si="69"/>
        <v>32.002500000000005</v>
      </c>
      <c r="Q191" s="38">
        <f t="shared" si="70"/>
        <v>33.187777777777775</v>
      </c>
      <c r="R191" s="38">
        <f t="shared" si="71"/>
        <v>34.373055555555553</v>
      </c>
      <c r="S191" s="38">
        <f t="shared" si="72"/>
        <v>29.75</v>
      </c>
      <c r="T191" s="38">
        <f t="shared" si="73"/>
        <v>30.75</v>
      </c>
      <c r="U191" s="38">
        <f t="shared" si="74"/>
        <v>32</v>
      </c>
      <c r="V191" s="38">
        <f t="shared" si="75"/>
        <v>33.25</v>
      </c>
      <c r="W191" s="38">
        <f t="shared" si="76"/>
        <v>34.25</v>
      </c>
    </row>
    <row r="192" spans="1:23" ht="21" customHeight="1" x14ac:dyDescent="0.2">
      <c r="A192" s="19" t="s">
        <v>1214</v>
      </c>
      <c r="B192" s="19" t="s">
        <v>180</v>
      </c>
      <c r="C192" s="32" t="s">
        <v>1154</v>
      </c>
      <c r="D192" s="20" t="s">
        <v>384</v>
      </c>
      <c r="E192" s="20" t="s">
        <v>386</v>
      </c>
      <c r="F192" s="20" t="s">
        <v>401</v>
      </c>
      <c r="G192" s="33">
        <v>5</v>
      </c>
      <c r="H192" s="34">
        <f>VLOOKUP($C192,'Raw Cost'!$A$1:$B$484,2,FALSE)/G192</f>
        <v>7.2</v>
      </c>
      <c r="I192" s="34">
        <f t="shared" si="66"/>
        <v>0.45</v>
      </c>
      <c r="J192" s="35">
        <v>6.25</v>
      </c>
      <c r="K192" s="35">
        <v>0.25</v>
      </c>
      <c r="L192" s="36">
        <f>VLOOKUP($F192,'Packaging Cost'!$A$1:$F$43,6,FALSE)</f>
        <v>2.6</v>
      </c>
      <c r="M192" s="37">
        <f>IF($E192="Snakpak",(($J192*H192)+($K192*'Labor Cost'!$A$2)+L192)+2.25,($J192*H192)+($K192*'Labor Cost'!$A$2)+L192+1)</f>
        <v>55.725000000000001</v>
      </c>
      <c r="N192" s="38">
        <f t="shared" si="67"/>
        <v>69.65625</v>
      </c>
      <c r="O192" s="38">
        <f t="shared" si="68"/>
        <v>72.44250000000001</v>
      </c>
      <c r="P192" s="38">
        <f t="shared" si="69"/>
        <v>75.228750000000005</v>
      </c>
      <c r="Q192" s="38">
        <f t="shared" si="70"/>
        <v>78.015000000000001</v>
      </c>
      <c r="R192" s="38">
        <f t="shared" si="71"/>
        <v>80.801249999999996</v>
      </c>
      <c r="S192" s="38">
        <f t="shared" si="72"/>
        <v>69.75</v>
      </c>
      <c r="T192" s="38">
        <f t="shared" si="73"/>
        <v>72.5</v>
      </c>
      <c r="U192" s="38">
        <f t="shared" si="74"/>
        <v>75.25</v>
      </c>
      <c r="V192" s="38">
        <f t="shared" si="75"/>
        <v>78</v>
      </c>
      <c r="W192" s="38">
        <f t="shared" si="76"/>
        <v>80.75</v>
      </c>
    </row>
    <row r="193" spans="1:23" ht="21" customHeight="1" x14ac:dyDescent="0.2">
      <c r="A193" s="19" t="s">
        <v>508</v>
      </c>
      <c r="B193" s="19" t="s">
        <v>424</v>
      </c>
      <c r="C193" s="20" t="s">
        <v>1171</v>
      </c>
      <c r="D193" s="20" t="s">
        <v>384</v>
      </c>
      <c r="E193" s="20" t="s">
        <v>386</v>
      </c>
      <c r="F193" s="20" t="s">
        <v>401</v>
      </c>
      <c r="G193" s="33">
        <v>15</v>
      </c>
      <c r="H193" s="34">
        <f>VLOOKUP($C193,'Raw Cost'!$A$1:$B$484,2,FALSE)/G193</f>
        <v>3.1333333333333333</v>
      </c>
      <c r="I193" s="34">
        <f t="shared" si="66"/>
        <v>0.19583333333333333</v>
      </c>
      <c r="J193" s="35">
        <v>11</v>
      </c>
      <c r="K193" s="35">
        <v>0.25</v>
      </c>
      <c r="L193" s="36">
        <f>VLOOKUP($F193,'Packaging Cost'!$A$1:$F$43,6,FALSE)</f>
        <v>2.6</v>
      </c>
      <c r="M193" s="37">
        <f>IF($E193="Snakpak",(($J193*H193)+($K193*'Labor Cost'!$A$2)+L193)+2.25,($J193*H193)+($K193*'Labor Cost'!$A$2)+L193+1)</f>
        <v>45.19166666666667</v>
      </c>
      <c r="N193" s="38">
        <f t="shared" si="67"/>
        <v>56.489583333333336</v>
      </c>
      <c r="O193" s="38">
        <f t="shared" si="68"/>
        <v>58.749166666666675</v>
      </c>
      <c r="P193" s="38">
        <f t="shared" si="69"/>
        <v>61.008750000000006</v>
      </c>
      <c r="Q193" s="38">
        <f t="shared" si="70"/>
        <v>63.268333333333331</v>
      </c>
      <c r="R193" s="38">
        <f t="shared" si="71"/>
        <v>65.52791666666667</v>
      </c>
      <c r="S193" s="38">
        <f t="shared" si="72"/>
        <v>56.5</v>
      </c>
      <c r="T193" s="38">
        <f t="shared" si="73"/>
        <v>58.75</v>
      </c>
      <c r="U193" s="38">
        <f t="shared" si="74"/>
        <v>61</v>
      </c>
      <c r="V193" s="38">
        <f t="shared" si="75"/>
        <v>63.25</v>
      </c>
      <c r="W193" s="38">
        <f t="shared" si="76"/>
        <v>65.5</v>
      </c>
    </row>
    <row r="194" spans="1:23" ht="21" customHeight="1" x14ac:dyDescent="0.2">
      <c r="A194" s="19" t="s">
        <v>509</v>
      </c>
      <c r="B194" s="19" t="s">
        <v>180</v>
      </c>
      <c r="C194" s="32" t="s">
        <v>395</v>
      </c>
      <c r="D194" s="20" t="s">
        <v>384</v>
      </c>
      <c r="E194" s="20" t="s">
        <v>386</v>
      </c>
      <c r="F194" s="20" t="s">
        <v>401</v>
      </c>
      <c r="G194" s="33">
        <v>5</v>
      </c>
      <c r="H194" s="34">
        <f>VLOOKUP($C194,'Raw Cost'!$A$1:$B$484,2,FALSE)/G194</f>
        <v>7.2</v>
      </c>
      <c r="I194" s="34">
        <f t="shared" si="66"/>
        <v>0.45</v>
      </c>
      <c r="J194" s="35">
        <v>6.25</v>
      </c>
      <c r="K194" s="35">
        <v>0.25</v>
      </c>
      <c r="L194" s="36">
        <f>VLOOKUP($F194,'Packaging Cost'!$A$1:$F$43,6,FALSE)</f>
        <v>2.6</v>
      </c>
      <c r="M194" s="37">
        <f>IF($E194="Snakpak",(($J194*H194)+($K194*'Labor Cost'!$A$2)+L194)+2.25,($J194*H194)+($K194*'Labor Cost'!$A$2)+L194+1)</f>
        <v>55.725000000000001</v>
      </c>
      <c r="N194" s="38">
        <f t="shared" si="67"/>
        <v>69.65625</v>
      </c>
      <c r="O194" s="38">
        <f t="shared" si="68"/>
        <v>72.44250000000001</v>
      </c>
      <c r="P194" s="38">
        <f t="shared" si="69"/>
        <v>75.228750000000005</v>
      </c>
      <c r="Q194" s="38">
        <f t="shared" si="70"/>
        <v>78.015000000000001</v>
      </c>
      <c r="R194" s="38">
        <f t="shared" si="71"/>
        <v>80.801249999999996</v>
      </c>
      <c r="S194" s="38">
        <f t="shared" si="72"/>
        <v>69.75</v>
      </c>
      <c r="T194" s="38">
        <f t="shared" si="73"/>
        <v>72.5</v>
      </c>
      <c r="U194" s="38">
        <f t="shared" si="74"/>
        <v>75.25</v>
      </c>
      <c r="V194" s="38">
        <f t="shared" si="75"/>
        <v>78</v>
      </c>
      <c r="W194" s="38">
        <f t="shared" si="76"/>
        <v>80.75</v>
      </c>
    </row>
    <row r="195" spans="1:23" ht="21" customHeight="1" x14ac:dyDescent="0.2">
      <c r="A195" s="19" t="s">
        <v>1212</v>
      </c>
      <c r="B195" s="19" t="s">
        <v>183</v>
      </c>
      <c r="C195" s="32" t="s">
        <v>1176</v>
      </c>
      <c r="D195" s="20" t="s">
        <v>384</v>
      </c>
      <c r="E195" s="20" t="s">
        <v>386</v>
      </c>
      <c r="F195" s="20" t="s">
        <v>401</v>
      </c>
      <c r="G195" s="33">
        <v>2</v>
      </c>
      <c r="H195" s="34">
        <f>VLOOKUP($C195,'Raw Cost'!$A$1:$B$484,2,FALSE)/G195</f>
        <v>1.7704861111111112</v>
      </c>
      <c r="I195" s="34">
        <f t="shared" si="66"/>
        <v>0.11065538194444445</v>
      </c>
      <c r="J195" s="35">
        <v>6.25</v>
      </c>
      <c r="K195" s="35">
        <v>0.25</v>
      </c>
      <c r="L195" s="36">
        <f>VLOOKUP($F195,'Packaging Cost'!$A$1:$F$43,6,FALSE)</f>
        <v>2.6</v>
      </c>
      <c r="M195" s="37">
        <f>IF($E195="Snakpak",(($J195*H195)+($K195*'Labor Cost'!$A$2)+L195)+2.25,($J195*H195)+($K195*'Labor Cost'!$A$2)+L195+1)</f>
        <v>21.790538194444444</v>
      </c>
      <c r="N195" s="38">
        <f t="shared" si="67"/>
        <v>27.238172743055557</v>
      </c>
      <c r="O195" s="38">
        <f t="shared" si="68"/>
        <v>28.327699652777778</v>
      </c>
      <c r="P195" s="38">
        <f t="shared" si="69"/>
        <v>29.417226562500002</v>
      </c>
      <c r="Q195" s="38">
        <f t="shared" si="70"/>
        <v>30.506753472222218</v>
      </c>
      <c r="R195" s="38">
        <f t="shared" si="71"/>
        <v>31.596280381944442</v>
      </c>
      <c r="S195" s="38">
        <f t="shared" si="72"/>
        <v>27.25</v>
      </c>
      <c r="T195" s="38">
        <f t="shared" si="73"/>
        <v>28.25</v>
      </c>
      <c r="U195" s="38">
        <f t="shared" si="74"/>
        <v>29.5</v>
      </c>
      <c r="V195" s="38">
        <f t="shared" si="75"/>
        <v>30.5</v>
      </c>
      <c r="W195" s="38">
        <f t="shared" si="76"/>
        <v>31.5</v>
      </c>
    </row>
    <row r="196" spans="1:23" ht="21" customHeight="1" x14ac:dyDescent="0.2">
      <c r="A196" s="19" t="s">
        <v>1246</v>
      </c>
      <c r="B196" s="19" t="s">
        <v>183</v>
      </c>
      <c r="C196" s="32" t="s">
        <v>1176</v>
      </c>
      <c r="D196" s="20" t="s">
        <v>385</v>
      </c>
      <c r="E196" s="20" t="s">
        <v>386</v>
      </c>
      <c r="F196" s="20" t="s">
        <v>401</v>
      </c>
      <c r="G196" s="33">
        <v>2</v>
      </c>
      <c r="H196" s="34">
        <f>VLOOKUP($C196,'Raw Cost'!$A$1:$B$484,2,FALSE)/G196</f>
        <v>1.7704861111111112</v>
      </c>
      <c r="I196" s="34">
        <f t="shared" si="66"/>
        <v>0.11065538194444445</v>
      </c>
      <c r="J196" s="35">
        <v>6.25</v>
      </c>
      <c r="K196" s="35">
        <v>0.25</v>
      </c>
      <c r="L196" s="36">
        <f>VLOOKUP($F196,'Packaging Cost'!$A$1:$F$43,6,FALSE)</f>
        <v>2.6</v>
      </c>
      <c r="M196" s="37">
        <f>IF($E196="Snakpak",(($J196*H196)+($K196*'Labor Cost'!$A$2)+L196)+2.25,($J196*H196)+($K196*'Labor Cost'!$A$2)+L196+1)</f>
        <v>21.790538194444444</v>
      </c>
      <c r="N196" s="38">
        <f t="shared" si="67"/>
        <v>43.238172743055557</v>
      </c>
      <c r="O196" s="38">
        <f t="shared" si="68"/>
        <v>44.327699652777781</v>
      </c>
      <c r="P196" s="38">
        <f t="shared" si="69"/>
        <v>45.417226562500005</v>
      </c>
      <c r="Q196" s="38">
        <f t="shared" si="70"/>
        <v>46.506753472222215</v>
      </c>
      <c r="R196" s="38">
        <f t="shared" si="71"/>
        <v>47.596280381944439</v>
      </c>
      <c r="S196" s="38">
        <f t="shared" si="72"/>
        <v>43.25</v>
      </c>
      <c r="T196" s="38">
        <f t="shared" si="73"/>
        <v>44.25</v>
      </c>
      <c r="U196" s="38">
        <f t="shared" si="74"/>
        <v>45.5</v>
      </c>
      <c r="V196" s="38">
        <f t="shared" si="75"/>
        <v>46.5</v>
      </c>
      <c r="W196" s="38">
        <f t="shared" si="76"/>
        <v>47.5</v>
      </c>
    </row>
    <row r="197" spans="1:23" ht="21" customHeight="1" x14ac:dyDescent="0.2">
      <c r="A197" s="19" t="s">
        <v>1211</v>
      </c>
      <c r="B197" s="19" t="s">
        <v>183</v>
      </c>
      <c r="C197" s="32" t="s">
        <v>1177</v>
      </c>
      <c r="D197" s="20" t="s">
        <v>384</v>
      </c>
      <c r="E197" s="20" t="s">
        <v>386</v>
      </c>
      <c r="F197" s="20" t="s">
        <v>401</v>
      </c>
      <c r="G197" s="33">
        <v>2</v>
      </c>
      <c r="H197" s="34">
        <f>VLOOKUP($C197,'Raw Cost'!$A$1:$B$484,2,FALSE)/G197</f>
        <v>1.6111111111111112</v>
      </c>
      <c r="I197" s="34">
        <f t="shared" si="66"/>
        <v>0.10069444444444445</v>
      </c>
      <c r="J197" s="35">
        <v>6.25</v>
      </c>
      <c r="K197" s="35">
        <v>0.25</v>
      </c>
      <c r="L197" s="36">
        <f>VLOOKUP($F197,'Packaging Cost'!$A$1:$F$43,6,FALSE)</f>
        <v>2.6</v>
      </c>
      <c r="M197" s="37">
        <f>IF($E197="Snakpak",(($J197*H197)+($K197*'Labor Cost'!$A$2)+L197)+2.25,($J197*H197)+($K197*'Labor Cost'!$A$2)+L197+1)</f>
        <v>20.794444444444444</v>
      </c>
      <c r="N197" s="38">
        <f t="shared" si="67"/>
        <v>25.993055555555557</v>
      </c>
      <c r="O197" s="38">
        <f t="shared" si="68"/>
        <v>27.032777777777778</v>
      </c>
      <c r="P197" s="38">
        <f t="shared" si="69"/>
        <v>28.072500000000002</v>
      </c>
      <c r="Q197" s="38">
        <f t="shared" si="70"/>
        <v>29.112222222222218</v>
      </c>
      <c r="R197" s="38">
        <f t="shared" si="71"/>
        <v>30.151944444444442</v>
      </c>
      <c r="S197" s="38">
        <f t="shared" si="72"/>
        <v>26</v>
      </c>
      <c r="T197" s="38">
        <f t="shared" si="73"/>
        <v>27</v>
      </c>
      <c r="U197" s="38">
        <f t="shared" si="74"/>
        <v>28</v>
      </c>
      <c r="V197" s="38">
        <f t="shared" si="75"/>
        <v>29</v>
      </c>
      <c r="W197" s="38">
        <f t="shared" si="76"/>
        <v>30.25</v>
      </c>
    </row>
    <row r="198" spans="1:23" ht="21" customHeight="1" x14ac:dyDescent="0.2">
      <c r="A198" s="19" t="s">
        <v>1247</v>
      </c>
      <c r="B198" s="19" t="s">
        <v>183</v>
      </c>
      <c r="C198" s="32" t="s">
        <v>1177</v>
      </c>
      <c r="D198" s="20" t="s">
        <v>385</v>
      </c>
      <c r="E198" s="20" t="s">
        <v>386</v>
      </c>
      <c r="F198" s="20" t="s">
        <v>401</v>
      </c>
      <c r="G198" s="33">
        <v>2</v>
      </c>
      <c r="H198" s="34">
        <f>VLOOKUP($C198,'Raw Cost'!$A$1:$B$484,2,FALSE)/G198</f>
        <v>1.6111111111111112</v>
      </c>
      <c r="I198" s="34">
        <f t="shared" si="66"/>
        <v>0.10069444444444445</v>
      </c>
      <c r="J198" s="35">
        <v>6.25</v>
      </c>
      <c r="K198" s="35">
        <v>0.25</v>
      </c>
      <c r="L198" s="36">
        <f>VLOOKUP($F198,'Packaging Cost'!$A$1:$F$43,6,FALSE)</f>
        <v>2.6</v>
      </c>
      <c r="M198" s="37">
        <f>IF($E198="Snakpak",(($J198*H198)+($K198*'Labor Cost'!$A$2)+L198)+2.25,($J198*H198)+($K198*'Labor Cost'!$A$2)+L198+1)</f>
        <v>20.794444444444444</v>
      </c>
      <c r="N198" s="38">
        <f t="shared" si="67"/>
        <v>41.993055555555557</v>
      </c>
      <c r="O198" s="38">
        <f t="shared" si="68"/>
        <v>43.032777777777781</v>
      </c>
      <c r="P198" s="38">
        <f t="shared" si="69"/>
        <v>44.072500000000005</v>
      </c>
      <c r="Q198" s="38">
        <f t="shared" si="70"/>
        <v>45.112222222222215</v>
      </c>
      <c r="R198" s="38">
        <f t="shared" si="71"/>
        <v>46.151944444444439</v>
      </c>
      <c r="S198" s="38">
        <f t="shared" si="72"/>
        <v>42</v>
      </c>
      <c r="T198" s="38">
        <f t="shared" si="73"/>
        <v>43</v>
      </c>
      <c r="U198" s="38">
        <f t="shared" si="74"/>
        <v>44</v>
      </c>
      <c r="V198" s="38">
        <f t="shared" si="75"/>
        <v>45</v>
      </c>
      <c r="W198" s="38">
        <f t="shared" si="76"/>
        <v>46.25</v>
      </c>
    </row>
    <row r="199" spans="1:23" ht="21" customHeight="1" x14ac:dyDescent="0.2">
      <c r="A199" s="19" t="s">
        <v>1213</v>
      </c>
      <c r="B199" s="19" t="s">
        <v>183</v>
      </c>
      <c r="C199" s="32" t="s">
        <v>1178</v>
      </c>
      <c r="D199" s="20" t="s">
        <v>384</v>
      </c>
      <c r="E199" s="20" t="s">
        <v>386</v>
      </c>
      <c r="F199" s="20" t="s">
        <v>401</v>
      </c>
      <c r="G199" s="33">
        <v>2</v>
      </c>
      <c r="H199" s="34">
        <f>VLOOKUP($C199,'Raw Cost'!$A$1:$B$484,2,FALSE)/G199</f>
        <v>1.9611111111111112</v>
      </c>
      <c r="I199" s="34">
        <f t="shared" si="66"/>
        <v>0.12256944444444445</v>
      </c>
      <c r="J199" s="35">
        <v>6.25</v>
      </c>
      <c r="K199" s="35">
        <v>0.25</v>
      </c>
      <c r="L199" s="36">
        <f>VLOOKUP($F199,'Packaging Cost'!$A$1:$F$43,6,FALSE)</f>
        <v>2.6</v>
      </c>
      <c r="M199" s="37">
        <f>IF($E199="Snakpak",(($J199*H199)+($K199*'Labor Cost'!$A$2)+L199)+2.25,($J199*H199)+($K199*'Labor Cost'!$A$2)+L199+1)</f>
        <v>22.981944444444444</v>
      </c>
      <c r="N199" s="38">
        <f t="shared" si="67"/>
        <v>28.727430555555557</v>
      </c>
      <c r="O199" s="38">
        <f t="shared" si="68"/>
        <v>29.876527777777778</v>
      </c>
      <c r="P199" s="38">
        <f t="shared" si="69"/>
        <v>31.025625000000002</v>
      </c>
      <c r="Q199" s="38">
        <f t="shared" si="70"/>
        <v>32.174722222222222</v>
      </c>
      <c r="R199" s="38">
        <f t="shared" si="71"/>
        <v>33.323819444444446</v>
      </c>
      <c r="S199" s="38">
        <f t="shared" si="72"/>
        <v>28.75</v>
      </c>
      <c r="T199" s="38">
        <f t="shared" si="73"/>
        <v>30</v>
      </c>
      <c r="U199" s="38">
        <f t="shared" si="74"/>
        <v>31</v>
      </c>
      <c r="V199" s="38">
        <f t="shared" si="75"/>
        <v>32.25</v>
      </c>
      <c r="W199" s="38">
        <f t="shared" si="76"/>
        <v>33.25</v>
      </c>
    </row>
    <row r="200" spans="1:23" ht="21" customHeight="1" x14ac:dyDescent="0.2">
      <c r="A200" s="19" t="s">
        <v>1248</v>
      </c>
      <c r="B200" s="19" t="s">
        <v>183</v>
      </c>
      <c r="C200" s="32" t="s">
        <v>1178</v>
      </c>
      <c r="D200" s="20" t="s">
        <v>385</v>
      </c>
      <c r="E200" s="20" t="s">
        <v>386</v>
      </c>
      <c r="F200" s="20" t="s">
        <v>401</v>
      </c>
      <c r="G200" s="33">
        <v>2</v>
      </c>
      <c r="H200" s="34">
        <f>VLOOKUP($C200,'Raw Cost'!$A$1:$B$484,2,FALSE)/G200</f>
        <v>1.9611111111111112</v>
      </c>
      <c r="I200" s="34">
        <f t="shared" si="66"/>
        <v>0.12256944444444445</v>
      </c>
      <c r="J200" s="35">
        <v>6.25</v>
      </c>
      <c r="K200" s="35">
        <v>0.25</v>
      </c>
      <c r="L200" s="36">
        <f>VLOOKUP($F200,'Packaging Cost'!$A$1:$F$43,6,FALSE)</f>
        <v>2.6</v>
      </c>
      <c r="M200" s="37">
        <f>IF($E200="Snakpak",(($J200*H200)+($K200*'Labor Cost'!$A$2)+L200)+2.25,($J200*H200)+($K200*'Labor Cost'!$A$2)+L200+1)</f>
        <v>22.981944444444444</v>
      </c>
      <c r="N200" s="38">
        <f t="shared" si="67"/>
        <v>44.727430555555557</v>
      </c>
      <c r="O200" s="38">
        <f t="shared" si="68"/>
        <v>45.876527777777781</v>
      </c>
      <c r="P200" s="38">
        <f t="shared" si="69"/>
        <v>47.025625000000005</v>
      </c>
      <c r="Q200" s="38">
        <f t="shared" si="70"/>
        <v>48.174722222222222</v>
      </c>
      <c r="R200" s="38">
        <f t="shared" si="71"/>
        <v>49.323819444444446</v>
      </c>
      <c r="S200" s="38">
        <f t="shared" si="72"/>
        <v>44.75</v>
      </c>
      <c r="T200" s="38">
        <f t="shared" si="73"/>
        <v>46</v>
      </c>
      <c r="U200" s="38">
        <f t="shared" si="74"/>
        <v>47</v>
      </c>
      <c r="V200" s="38">
        <f t="shared" si="75"/>
        <v>48.25</v>
      </c>
      <c r="W200" s="38">
        <f t="shared" si="76"/>
        <v>49.25</v>
      </c>
    </row>
    <row r="201" spans="1:23" ht="21" customHeight="1" x14ac:dyDescent="0.2">
      <c r="A201" s="19" t="s">
        <v>510</v>
      </c>
      <c r="B201" s="19" t="s">
        <v>183</v>
      </c>
      <c r="C201" s="32" t="s">
        <v>3</v>
      </c>
      <c r="D201" s="20" t="s">
        <v>384</v>
      </c>
      <c r="E201" s="20" t="s">
        <v>386</v>
      </c>
      <c r="F201" s="20" t="s">
        <v>401</v>
      </c>
      <c r="G201" s="33">
        <v>18</v>
      </c>
      <c r="H201" s="34">
        <f>VLOOKUP($C201,'Raw Cost'!$A$1:$B$484,2,FALSE)/G201</f>
        <v>1.2222222222222223</v>
      </c>
      <c r="I201" s="34">
        <f t="shared" si="66"/>
        <v>7.6388888888888895E-2</v>
      </c>
      <c r="J201" s="35">
        <v>6.25</v>
      </c>
      <c r="K201" s="35">
        <v>0.25</v>
      </c>
      <c r="L201" s="36">
        <f>VLOOKUP($F201,'Packaging Cost'!$A$1:$F$43,6,FALSE)</f>
        <v>2.6</v>
      </c>
      <c r="M201" s="37">
        <f>IF($E201="Snakpak",(($J201*H201)+($K201*'Labor Cost'!$A$2)+L201)+2.25,($J201*H201)+($K201*'Labor Cost'!$A$2)+L201+1)</f>
        <v>18.363888888888891</v>
      </c>
      <c r="N201" s="38">
        <f t="shared" si="67"/>
        <v>22.954861111111114</v>
      </c>
      <c r="O201" s="38">
        <f t="shared" si="68"/>
        <v>23.87305555555556</v>
      </c>
      <c r="P201" s="38">
        <f t="shared" si="69"/>
        <v>24.791250000000005</v>
      </c>
      <c r="Q201" s="38">
        <f t="shared" si="70"/>
        <v>25.709444444444447</v>
      </c>
      <c r="R201" s="38">
        <f t="shared" si="71"/>
        <v>26.627638888888892</v>
      </c>
      <c r="S201" s="38">
        <f t="shared" si="72"/>
        <v>23</v>
      </c>
      <c r="T201" s="38">
        <f t="shared" si="73"/>
        <v>23.75</v>
      </c>
      <c r="U201" s="38">
        <f t="shared" si="74"/>
        <v>24.75</v>
      </c>
      <c r="V201" s="38">
        <f t="shared" si="75"/>
        <v>25.75</v>
      </c>
      <c r="W201" s="38">
        <f t="shared" si="76"/>
        <v>26.75</v>
      </c>
    </row>
    <row r="202" spans="1:23" ht="21" customHeight="1" x14ac:dyDescent="0.2">
      <c r="A202" s="19" t="s">
        <v>1245</v>
      </c>
      <c r="B202" s="19" t="s">
        <v>184</v>
      </c>
      <c r="C202" s="32" t="s">
        <v>3</v>
      </c>
      <c r="D202" s="32" t="s">
        <v>385</v>
      </c>
      <c r="E202" s="20" t="s">
        <v>386</v>
      </c>
      <c r="F202" s="20" t="s">
        <v>401</v>
      </c>
      <c r="G202" s="33">
        <v>18</v>
      </c>
      <c r="H202" s="34">
        <f>VLOOKUP($C202,'Raw Cost'!$A$1:$B$484,2,FALSE)/G202</f>
        <v>1.2222222222222223</v>
      </c>
      <c r="I202" s="34">
        <f t="shared" si="66"/>
        <v>7.6388888888888895E-2</v>
      </c>
      <c r="J202" s="35">
        <v>6.25</v>
      </c>
      <c r="K202" s="35">
        <v>0.25</v>
      </c>
      <c r="L202" s="36">
        <f>VLOOKUP($F202,'Packaging Cost'!$A$1:$F$43,6,FALSE)</f>
        <v>2.6</v>
      </c>
      <c r="M202" s="37">
        <f>IF($E202="Snakpak",(($J202*H202)+($K202*'Labor Cost'!$A$2)+L202)+2.25,($J202*H202)+($K202*'Labor Cost'!$A$2)+L202+1)</f>
        <v>18.363888888888891</v>
      </c>
      <c r="N202" s="38">
        <f t="shared" si="67"/>
        <v>38.954861111111114</v>
      </c>
      <c r="O202" s="38">
        <f t="shared" si="68"/>
        <v>39.87305555555556</v>
      </c>
      <c r="P202" s="38">
        <f t="shared" si="69"/>
        <v>40.791250000000005</v>
      </c>
      <c r="Q202" s="38">
        <f t="shared" si="70"/>
        <v>41.709444444444443</v>
      </c>
      <c r="R202" s="38">
        <f t="shared" si="71"/>
        <v>42.627638888888896</v>
      </c>
      <c r="S202" s="38">
        <f t="shared" si="72"/>
        <v>39</v>
      </c>
      <c r="T202" s="38">
        <f t="shared" si="73"/>
        <v>39.75</v>
      </c>
      <c r="U202" s="38">
        <f t="shared" si="74"/>
        <v>40.75</v>
      </c>
      <c r="V202" s="38">
        <f t="shared" si="75"/>
        <v>41.75</v>
      </c>
      <c r="W202" s="38">
        <f t="shared" si="76"/>
        <v>42.75</v>
      </c>
    </row>
    <row r="203" spans="1:23" ht="21" customHeight="1" x14ac:dyDescent="0.2">
      <c r="A203" s="19" t="s">
        <v>583</v>
      </c>
      <c r="B203" s="19" t="s">
        <v>183</v>
      </c>
      <c r="C203" s="32" t="s">
        <v>3</v>
      </c>
      <c r="D203" s="20" t="s">
        <v>384</v>
      </c>
      <c r="E203" s="20" t="s">
        <v>386</v>
      </c>
      <c r="F203" s="20" t="s">
        <v>401</v>
      </c>
      <c r="G203" s="33">
        <v>18</v>
      </c>
      <c r="H203" s="34">
        <f>VLOOKUP($C203,'Raw Cost'!$A$1:$B$484,2,FALSE)/G203</f>
        <v>1.2222222222222223</v>
      </c>
      <c r="I203" s="34">
        <f t="shared" ref="I203:I234" si="77">H203/16</f>
        <v>7.6388888888888895E-2</v>
      </c>
      <c r="J203" s="35">
        <v>12.5</v>
      </c>
      <c r="K203" s="35">
        <v>0.25</v>
      </c>
      <c r="L203" s="36">
        <f>VLOOKUP($F203,'Packaging Cost'!$A$1:$F$43,6,FALSE)</f>
        <v>2.6</v>
      </c>
      <c r="M203" s="37">
        <f>IF($E203="Snakpak",(($J203*H203)+($K203*'Labor Cost'!$A$2)+L203)+2.25,($J203*H203)+($K203*'Labor Cost'!$A$2)+L203+1)</f>
        <v>26.00277777777778</v>
      </c>
      <c r="N203" s="38">
        <f t="shared" ref="N203:N234" si="78">IF($D203="No",$M203*1.25,($M203*1.25)+16)</f>
        <v>32.503472222222229</v>
      </c>
      <c r="O203" s="38">
        <f t="shared" ref="O203:O234" si="79">IF($D203="No",$M203*1.3,($M203*1.3)+16)</f>
        <v>33.803611111111117</v>
      </c>
      <c r="P203" s="38">
        <f t="shared" ref="P203:P234" si="80">IF($D203="No",$M203*1.35,($M203*1.35)+16)</f>
        <v>35.103750000000005</v>
      </c>
      <c r="Q203" s="38">
        <f t="shared" ref="Q203:Q234" si="81">IF($D203="No",$M203*1.4,($M203*1.4)+16)</f>
        <v>36.403888888888886</v>
      </c>
      <c r="R203" s="38">
        <f t="shared" ref="R203:R234" si="82">IF($D203="No",$M203*1.45,($M203*1.45)+16)</f>
        <v>37.704027777777782</v>
      </c>
      <c r="S203" s="38">
        <f t="shared" ref="S203:S234" si="83">MROUND(N203,0.25)</f>
        <v>32.5</v>
      </c>
      <c r="T203" s="38">
        <f t="shared" ref="T203:T234" si="84">MROUND(O203,0.25)</f>
        <v>33.75</v>
      </c>
      <c r="U203" s="38">
        <f t="shared" ref="U203:U234" si="85">MROUND(P203,0.25)</f>
        <v>35</v>
      </c>
      <c r="V203" s="38">
        <f t="shared" ref="V203:V234" si="86">MROUND(Q203,0.25)</f>
        <v>36.5</v>
      </c>
      <c r="W203" s="38">
        <f t="shared" ref="W203:W234" si="87">MROUND(R203,0.25)</f>
        <v>37.75</v>
      </c>
    </row>
    <row r="204" spans="1:23" ht="21" customHeight="1" x14ac:dyDescent="0.2">
      <c r="A204" s="19" t="s">
        <v>1017</v>
      </c>
      <c r="B204" s="19" t="s">
        <v>339</v>
      </c>
      <c r="C204" s="32" t="s">
        <v>52</v>
      </c>
      <c r="D204" s="20" t="s">
        <v>384</v>
      </c>
      <c r="E204" s="20" t="s">
        <v>386</v>
      </c>
      <c r="F204" s="20" t="s">
        <v>401</v>
      </c>
      <c r="G204" s="33">
        <v>30</v>
      </c>
      <c r="H204" s="34">
        <f>VLOOKUP($C204,'Raw Cost'!$A$1:$B$484,2,FALSE)/G204</f>
        <v>0.8666666666666667</v>
      </c>
      <c r="I204" s="34">
        <f t="shared" si="77"/>
        <v>5.4166666666666669E-2</v>
      </c>
      <c r="J204" s="35">
        <v>6.25</v>
      </c>
      <c r="K204" s="35">
        <v>0.27</v>
      </c>
      <c r="L204" s="36">
        <f>VLOOKUP($F204,'Packaging Cost'!$A$1:$F$43,6,FALSE)</f>
        <v>2.6</v>
      </c>
      <c r="M204" s="37">
        <f>IF($E204="Snakpak",(($J204*H204)+($K204*'Labor Cost'!$A$2)+L204)+2.25,($J204*H204)+($K204*'Labor Cost'!$A$2)+L204+1)</f>
        <v>16.611666666666665</v>
      </c>
      <c r="N204" s="38">
        <f t="shared" si="78"/>
        <v>20.764583333333331</v>
      </c>
      <c r="O204" s="38">
        <f t="shared" si="79"/>
        <v>21.595166666666664</v>
      </c>
      <c r="P204" s="38">
        <f t="shared" si="80"/>
        <v>22.425749999999997</v>
      </c>
      <c r="Q204" s="38">
        <f t="shared" si="81"/>
        <v>23.25633333333333</v>
      </c>
      <c r="R204" s="38">
        <f t="shared" si="82"/>
        <v>24.086916666666664</v>
      </c>
      <c r="S204" s="38">
        <f t="shared" si="83"/>
        <v>20.75</v>
      </c>
      <c r="T204" s="38">
        <f t="shared" si="84"/>
        <v>21.5</v>
      </c>
      <c r="U204" s="38">
        <f t="shared" si="85"/>
        <v>22.5</v>
      </c>
      <c r="V204" s="38">
        <f t="shared" si="86"/>
        <v>23.25</v>
      </c>
      <c r="W204" s="38">
        <f t="shared" si="87"/>
        <v>24</v>
      </c>
    </row>
    <row r="205" spans="1:23" ht="21" customHeight="1" x14ac:dyDescent="0.2">
      <c r="A205" s="19" t="s">
        <v>1278</v>
      </c>
      <c r="B205" s="19" t="s">
        <v>339</v>
      </c>
      <c r="C205" s="32" t="s">
        <v>52</v>
      </c>
      <c r="D205" s="20" t="s">
        <v>385</v>
      </c>
      <c r="E205" s="20" t="s">
        <v>386</v>
      </c>
      <c r="F205" s="20" t="s">
        <v>401</v>
      </c>
      <c r="G205" s="33">
        <v>30</v>
      </c>
      <c r="H205" s="34">
        <f>VLOOKUP($C205,'Raw Cost'!$A$1:$B$484,2,FALSE)/G205</f>
        <v>0.8666666666666667</v>
      </c>
      <c r="I205" s="34">
        <f t="shared" si="77"/>
        <v>5.4166666666666669E-2</v>
      </c>
      <c r="J205" s="35">
        <v>6.25</v>
      </c>
      <c r="K205" s="35">
        <v>0.27</v>
      </c>
      <c r="L205" s="36">
        <f>VLOOKUP($F205,'Packaging Cost'!$A$1:$F$43,6,FALSE)</f>
        <v>2.6</v>
      </c>
      <c r="M205" s="37">
        <f>IF($E205="Snakpak",(($J205*H205)+($K205*'Labor Cost'!$A$2)+L205)+2.25,($J205*H205)+($K205*'Labor Cost'!$A$2)+L205+1)</f>
        <v>16.611666666666665</v>
      </c>
      <c r="N205" s="38">
        <f t="shared" si="78"/>
        <v>36.764583333333334</v>
      </c>
      <c r="O205" s="38">
        <f t="shared" si="79"/>
        <v>37.595166666666664</v>
      </c>
      <c r="P205" s="38">
        <f t="shared" si="80"/>
        <v>38.425749999999994</v>
      </c>
      <c r="Q205" s="38">
        <f t="shared" si="81"/>
        <v>39.25633333333333</v>
      </c>
      <c r="R205" s="38">
        <f t="shared" si="82"/>
        <v>40.086916666666667</v>
      </c>
      <c r="S205" s="38">
        <f t="shared" si="83"/>
        <v>36.75</v>
      </c>
      <c r="T205" s="38">
        <f t="shared" si="84"/>
        <v>37.5</v>
      </c>
      <c r="U205" s="38">
        <f t="shared" si="85"/>
        <v>38.5</v>
      </c>
      <c r="V205" s="38">
        <f t="shared" si="86"/>
        <v>39.25</v>
      </c>
      <c r="W205" s="38">
        <f t="shared" si="87"/>
        <v>40</v>
      </c>
    </row>
    <row r="206" spans="1:23" ht="21" customHeight="1" x14ac:dyDescent="0.2">
      <c r="A206" s="19" t="s">
        <v>1215</v>
      </c>
      <c r="B206" s="19" t="s">
        <v>191</v>
      </c>
      <c r="C206" s="32" t="s">
        <v>1179</v>
      </c>
      <c r="D206" s="20" t="s">
        <v>384</v>
      </c>
      <c r="E206" s="20" t="s">
        <v>386</v>
      </c>
      <c r="F206" s="20" t="s">
        <v>401</v>
      </c>
      <c r="G206" s="33">
        <v>2</v>
      </c>
      <c r="H206" s="34">
        <f>VLOOKUP($C206,'Raw Cost'!$A$1:$B$484,2,FALSE)/G206</f>
        <v>1.5833333333333333</v>
      </c>
      <c r="I206" s="34">
        <f t="shared" si="77"/>
        <v>9.8958333333333329E-2</v>
      </c>
      <c r="J206" s="35">
        <v>8.44</v>
      </c>
      <c r="K206" s="35">
        <v>0.25</v>
      </c>
      <c r="L206" s="36">
        <f>VLOOKUP($F206,'Packaging Cost'!$A$1:$F$43,6,FALSE)</f>
        <v>2.6</v>
      </c>
      <c r="M206" s="37">
        <f>IF($E206="Snakpak",(($J206*H206)+($K206*'Labor Cost'!$A$2)+L206)+2.25,($J206*H206)+($K206*'Labor Cost'!$A$2)+L206+1)</f>
        <v>24.088333333333331</v>
      </c>
      <c r="N206" s="38">
        <f t="shared" si="78"/>
        <v>30.110416666666666</v>
      </c>
      <c r="O206" s="38">
        <f t="shared" si="79"/>
        <v>31.314833333333333</v>
      </c>
      <c r="P206" s="38">
        <f t="shared" si="80"/>
        <v>32.51925</v>
      </c>
      <c r="Q206" s="38">
        <f t="shared" si="81"/>
        <v>33.723666666666659</v>
      </c>
      <c r="R206" s="38">
        <f t="shared" si="82"/>
        <v>34.928083333333326</v>
      </c>
      <c r="S206" s="38">
        <f t="shared" si="83"/>
        <v>30</v>
      </c>
      <c r="T206" s="38">
        <f t="shared" si="84"/>
        <v>31.25</v>
      </c>
      <c r="U206" s="38">
        <f t="shared" si="85"/>
        <v>32.5</v>
      </c>
      <c r="V206" s="38">
        <f t="shared" si="86"/>
        <v>33.75</v>
      </c>
      <c r="W206" s="38">
        <f t="shared" si="87"/>
        <v>35</v>
      </c>
    </row>
    <row r="207" spans="1:23" ht="21" customHeight="1" x14ac:dyDescent="0.2">
      <c r="A207" s="19" t="s">
        <v>1216</v>
      </c>
      <c r="B207" s="19" t="s">
        <v>191</v>
      </c>
      <c r="C207" s="32" t="s">
        <v>1180</v>
      </c>
      <c r="D207" s="20" t="s">
        <v>384</v>
      </c>
      <c r="E207" s="20" t="s">
        <v>386</v>
      </c>
      <c r="F207" s="20" t="s">
        <v>401</v>
      </c>
      <c r="G207" s="33">
        <v>2</v>
      </c>
      <c r="H207" s="34">
        <f>VLOOKUP($C207,'Raw Cost'!$A$1:$B$484,2,FALSE)/G207</f>
        <v>1.4222222222222223</v>
      </c>
      <c r="I207" s="34">
        <f t="shared" si="77"/>
        <v>8.8888888888888892E-2</v>
      </c>
      <c r="J207" s="35">
        <v>8.44</v>
      </c>
      <c r="K207" s="35">
        <v>0.25</v>
      </c>
      <c r="L207" s="36">
        <f>VLOOKUP($F207,'Packaging Cost'!$A$1:$F$43,6,FALSE)</f>
        <v>2.6</v>
      </c>
      <c r="M207" s="37">
        <f>IF($E207="Snakpak",(($J207*H207)+($K207*'Labor Cost'!$A$2)+L207)+2.25,($J207*H207)+($K207*'Labor Cost'!$A$2)+L207+1)</f>
        <v>22.728555555555559</v>
      </c>
      <c r="N207" s="38">
        <f t="shared" si="78"/>
        <v>28.410694444444449</v>
      </c>
      <c r="O207" s="38">
        <f t="shared" si="79"/>
        <v>29.547122222222228</v>
      </c>
      <c r="P207" s="38">
        <f t="shared" si="80"/>
        <v>30.683550000000007</v>
      </c>
      <c r="Q207" s="38">
        <f t="shared" si="81"/>
        <v>31.81997777777778</v>
      </c>
      <c r="R207" s="38">
        <f t="shared" si="82"/>
        <v>32.956405555555563</v>
      </c>
      <c r="S207" s="38">
        <f t="shared" si="83"/>
        <v>28.5</v>
      </c>
      <c r="T207" s="38">
        <f t="shared" si="84"/>
        <v>29.5</v>
      </c>
      <c r="U207" s="38">
        <f t="shared" si="85"/>
        <v>30.75</v>
      </c>
      <c r="V207" s="38">
        <f t="shared" si="86"/>
        <v>31.75</v>
      </c>
      <c r="W207" s="38">
        <f t="shared" si="87"/>
        <v>33</v>
      </c>
    </row>
    <row r="208" spans="1:23" ht="21" customHeight="1" x14ac:dyDescent="0.2">
      <c r="A208" s="19" t="s">
        <v>1143</v>
      </c>
      <c r="B208" s="19" t="s">
        <v>191</v>
      </c>
      <c r="C208" s="32" t="s">
        <v>1142</v>
      </c>
      <c r="D208" s="20" t="s">
        <v>384</v>
      </c>
      <c r="E208" s="20" t="s">
        <v>386</v>
      </c>
      <c r="F208" s="20" t="s">
        <v>401</v>
      </c>
      <c r="G208" s="33">
        <v>2</v>
      </c>
      <c r="H208" s="34">
        <f>VLOOKUP($C208,'Raw Cost'!$A$1:$B$484,2,FALSE)/G208</f>
        <v>1.0291666666666666</v>
      </c>
      <c r="I208" s="34">
        <f t="shared" si="77"/>
        <v>6.432291666666666E-2</v>
      </c>
      <c r="J208" s="35">
        <v>8.44</v>
      </c>
      <c r="K208" s="35">
        <v>0.25</v>
      </c>
      <c r="L208" s="36">
        <f>VLOOKUP($F208,'Packaging Cost'!$A$1:$F$43,6,FALSE)</f>
        <v>2.6</v>
      </c>
      <c r="M208" s="37">
        <f>IF($E208="Snakpak",(($J208*H208)+($K208*'Labor Cost'!$A$2)+L208)+2.25,($J208*H208)+($K208*'Labor Cost'!$A$2)+L208+1)</f>
        <v>19.411166666666666</v>
      </c>
      <c r="N208" s="38">
        <f t="shared" si="78"/>
        <v>24.263958333333335</v>
      </c>
      <c r="O208" s="38">
        <f t="shared" si="79"/>
        <v>25.234516666666668</v>
      </c>
      <c r="P208" s="38">
        <f t="shared" si="80"/>
        <v>26.205075000000001</v>
      </c>
      <c r="Q208" s="38">
        <f t="shared" si="81"/>
        <v>27.17563333333333</v>
      </c>
      <c r="R208" s="38">
        <f t="shared" si="82"/>
        <v>28.146191666666667</v>
      </c>
      <c r="S208" s="38">
        <f t="shared" si="83"/>
        <v>24.25</v>
      </c>
      <c r="T208" s="38">
        <f t="shared" si="84"/>
        <v>25.25</v>
      </c>
      <c r="U208" s="38">
        <f t="shared" si="85"/>
        <v>26.25</v>
      </c>
      <c r="V208" s="38">
        <f t="shared" si="86"/>
        <v>27.25</v>
      </c>
      <c r="W208" s="38">
        <f t="shared" si="87"/>
        <v>28.25</v>
      </c>
    </row>
    <row r="209" spans="1:23" ht="21" customHeight="1" x14ac:dyDescent="0.2">
      <c r="A209" s="19" t="s">
        <v>1217</v>
      </c>
      <c r="B209" s="19" t="s">
        <v>191</v>
      </c>
      <c r="C209" s="32" t="s">
        <v>1181</v>
      </c>
      <c r="D209" s="20" t="s">
        <v>384</v>
      </c>
      <c r="E209" s="20" t="s">
        <v>386</v>
      </c>
      <c r="F209" s="20" t="s">
        <v>401</v>
      </c>
      <c r="G209" s="33">
        <v>2</v>
      </c>
      <c r="H209" s="34">
        <f>VLOOKUP($C209,'Raw Cost'!$A$1:$B$484,2,FALSE)/G209</f>
        <v>1.5555555555555556</v>
      </c>
      <c r="I209" s="34">
        <f t="shared" si="77"/>
        <v>9.7222222222222224E-2</v>
      </c>
      <c r="J209" s="35">
        <v>8.44</v>
      </c>
      <c r="K209" s="35">
        <v>0.25</v>
      </c>
      <c r="L209" s="36">
        <f>VLOOKUP($F209,'Packaging Cost'!$A$1:$F$43,6,FALSE)</f>
        <v>2.6</v>
      </c>
      <c r="M209" s="37">
        <f>IF($E209="Snakpak",(($J209*H209)+($K209*'Labor Cost'!$A$2)+L209)+2.25,($J209*H209)+($K209*'Labor Cost'!$A$2)+L209+1)</f>
        <v>23.853888888888889</v>
      </c>
      <c r="N209" s="38">
        <f t="shared" si="78"/>
        <v>29.817361111111111</v>
      </c>
      <c r="O209" s="38">
        <f t="shared" si="79"/>
        <v>31.010055555555557</v>
      </c>
      <c r="P209" s="38">
        <f t="shared" si="80"/>
        <v>32.202750000000002</v>
      </c>
      <c r="Q209" s="38">
        <f t="shared" si="81"/>
        <v>33.395444444444443</v>
      </c>
      <c r="R209" s="38">
        <f t="shared" si="82"/>
        <v>34.588138888888885</v>
      </c>
      <c r="S209" s="38">
        <f t="shared" si="83"/>
        <v>29.75</v>
      </c>
      <c r="T209" s="38">
        <f t="shared" si="84"/>
        <v>31</v>
      </c>
      <c r="U209" s="38">
        <f t="shared" si="85"/>
        <v>32.25</v>
      </c>
      <c r="V209" s="38">
        <f t="shared" si="86"/>
        <v>33.5</v>
      </c>
      <c r="W209" s="38">
        <f t="shared" si="87"/>
        <v>34.5</v>
      </c>
    </row>
    <row r="210" spans="1:23" ht="21" customHeight="1" x14ac:dyDescent="0.2">
      <c r="A210" s="19" t="s">
        <v>63</v>
      </c>
      <c r="B210" s="19" t="s">
        <v>191</v>
      </c>
      <c r="C210" s="32" t="s">
        <v>10</v>
      </c>
      <c r="D210" s="20" t="s">
        <v>384</v>
      </c>
      <c r="E210" s="20" t="s">
        <v>386</v>
      </c>
      <c r="F210" s="20" t="s">
        <v>401</v>
      </c>
      <c r="G210" s="33">
        <v>17</v>
      </c>
      <c r="H210" s="34">
        <f>VLOOKUP($C210,'Raw Cost'!$A$1:$B$484,2,FALSE)/G210</f>
        <v>1.1764705882352942</v>
      </c>
      <c r="I210" s="34">
        <f t="shared" si="77"/>
        <v>7.3529411764705885E-2</v>
      </c>
      <c r="J210" s="35">
        <v>8.44</v>
      </c>
      <c r="K210" s="35">
        <v>0.25</v>
      </c>
      <c r="L210" s="36">
        <f>VLOOKUP($F210,'Packaging Cost'!$A$1:$F$43,6,FALSE)</f>
        <v>2.6</v>
      </c>
      <c r="M210" s="37">
        <f>IF($E210="Snakpak",(($J210*H210)+($K210*'Labor Cost'!$A$2)+L210)+2.25,($J210*H210)+($K210*'Labor Cost'!$A$2)+L210+1)</f>
        <v>20.654411764705884</v>
      </c>
      <c r="N210" s="38">
        <f t="shared" si="78"/>
        <v>25.818014705882355</v>
      </c>
      <c r="O210" s="38">
        <f t="shared" si="79"/>
        <v>26.850735294117651</v>
      </c>
      <c r="P210" s="38">
        <f t="shared" si="80"/>
        <v>27.883455882352944</v>
      </c>
      <c r="Q210" s="38">
        <f t="shared" si="81"/>
        <v>28.916176470588237</v>
      </c>
      <c r="R210" s="38">
        <f t="shared" si="82"/>
        <v>29.94889705882353</v>
      </c>
      <c r="S210" s="38">
        <f t="shared" si="83"/>
        <v>25.75</v>
      </c>
      <c r="T210" s="38">
        <f t="shared" si="84"/>
        <v>26.75</v>
      </c>
      <c r="U210" s="38">
        <f t="shared" si="85"/>
        <v>28</v>
      </c>
      <c r="V210" s="38">
        <f t="shared" si="86"/>
        <v>29</v>
      </c>
      <c r="W210" s="38">
        <f t="shared" si="87"/>
        <v>30</v>
      </c>
    </row>
    <row r="211" spans="1:23" ht="21" customHeight="1" x14ac:dyDescent="0.2">
      <c r="A211" s="19" t="s">
        <v>67</v>
      </c>
      <c r="B211" s="19" t="s">
        <v>195</v>
      </c>
      <c r="C211" s="32" t="s">
        <v>11</v>
      </c>
      <c r="D211" s="32" t="s">
        <v>384</v>
      </c>
      <c r="E211" s="20" t="s">
        <v>386</v>
      </c>
      <c r="F211" s="20" t="s">
        <v>401</v>
      </c>
      <c r="G211" s="33">
        <v>32</v>
      </c>
      <c r="H211" s="34">
        <f>VLOOKUP($C211,'Raw Cost'!$A$1:$B$484,2,FALSE)/G211</f>
        <v>0.9375</v>
      </c>
      <c r="I211" s="34">
        <f t="shared" si="77"/>
        <v>5.859375E-2</v>
      </c>
      <c r="J211" s="35">
        <v>6.25</v>
      </c>
      <c r="K211" s="35">
        <v>0.25</v>
      </c>
      <c r="L211" s="36">
        <f>VLOOKUP($F211,'Packaging Cost'!$A$1:$F$43,6,FALSE)</f>
        <v>2.6</v>
      </c>
      <c r="M211" s="37">
        <f>IF($E211="Snakpak",(($J211*H211)+($K211*'Labor Cost'!$A$2)+L211)+2.25,($J211*H211)+($K211*'Labor Cost'!$A$2)+L211+1)</f>
        <v>16.584375000000001</v>
      </c>
      <c r="N211" s="38">
        <f t="shared" si="78"/>
        <v>20.73046875</v>
      </c>
      <c r="O211" s="38">
        <f t="shared" si="79"/>
        <v>21.559687500000003</v>
      </c>
      <c r="P211" s="38">
        <f t="shared" si="80"/>
        <v>22.388906250000005</v>
      </c>
      <c r="Q211" s="38">
        <f t="shared" si="81"/>
        <v>23.218125000000001</v>
      </c>
      <c r="R211" s="38">
        <f t="shared" si="82"/>
        <v>24.04734375</v>
      </c>
      <c r="S211" s="38">
        <f t="shared" si="83"/>
        <v>20.75</v>
      </c>
      <c r="T211" s="38">
        <f t="shared" si="84"/>
        <v>21.5</v>
      </c>
      <c r="U211" s="38">
        <f t="shared" si="85"/>
        <v>22.5</v>
      </c>
      <c r="V211" s="38">
        <f t="shared" si="86"/>
        <v>23.25</v>
      </c>
      <c r="W211" s="38">
        <f t="shared" si="87"/>
        <v>24</v>
      </c>
    </row>
    <row r="212" spans="1:23" ht="21" customHeight="1" x14ac:dyDescent="0.2">
      <c r="A212" s="19" t="s">
        <v>1249</v>
      </c>
      <c r="B212" s="19" t="s">
        <v>195</v>
      </c>
      <c r="C212" s="32" t="s">
        <v>11</v>
      </c>
      <c r="D212" s="32" t="s">
        <v>385</v>
      </c>
      <c r="E212" s="20" t="s">
        <v>386</v>
      </c>
      <c r="F212" s="20" t="s">
        <v>401</v>
      </c>
      <c r="G212" s="33">
        <v>32</v>
      </c>
      <c r="H212" s="34">
        <f>VLOOKUP($C212,'Raw Cost'!$A$1:$B$484,2,FALSE)/G212</f>
        <v>0.9375</v>
      </c>
      <c r="I212" s="34">
        <f t="shared" si="77"/>
        <v>5.859375E-2</v>
      </c>
      <c r="J212" s="35">
        <v>6.25</v>
      </c>
      <c r="K212" s="35">
        <v>0.25</v>
      </c>
      <c r="L212" s="36">
        <f>VLOOKUP($F212,'Packaging Cost'!$A$1:$F$43,6,FALSE)</f>
        <v>2.6</v>
      </c>
      <c r="M212" s="37">
        <f>IF($E212="Snakpak",(($J212*H212)+($K212*'Labor Cost'!$A$2)+L212)+2.25,($J212*H212)+($K212*'Labor Cost'!$A$2)+L212+1)</f>
        <v>16.584375000000001</v>
      </c>
      <c r="N212" s="38">
        <f t="shared" si="78"/>
        <v>36.73046875</v>
      </c>
      <c r="O212" s="38">
        <f t="shared" si="79"/>
        <v>37.559687500000003</v>
      </c>
      <c r="P212" s="38">
        <f t="shared" si="80"/>
        <v>38.388906250000005</v>
      </c>
      <c r="Q212" s="38">
        <f t="shared" si="81"/>
        <v>39.218125000000001</v>
      </c>
      <c r="R212" s="38">
        <f t="shared" si="82"/>
        <v>40.047343749999996</v>
      </c>
      <c r="S212" s="38">
        <f t="shared" si="83"/>
        <v>36.75</v>
      </c>
      <c r="T212" s="38">
        <f t="shared" si="84"/>
        <v>37.5</v>
      </c>
      <c r="U212" s="38">
        <f t="shared" si="85"/>
        <v>38.5</v>
      </c>
      <c r="V212" s="38">
        <f t="shared" si="86"/>
        <v>39.25</v>
      </c>
      <c r="W212" s="38">
        <f t="shared" si="87"/>
        <v>40</v>
      </c>
    </row>
    <row r="213" spans="1:23" ht="21" customHeight="1" x14ac:dyDescent="0.2">
      <c r="A213" s="19" t="s">
        <v>1218</v>
      </c>
      <c r="B213" s="19" t="s">
        <v>201</v>
      </c>
      <c r="C213" s="32" t="s">
        <v>1182</v>
      </c>
      <c r="D213" s="32" t="s">
        <v>384</v>
      </c>
      <c r="E213" s="20" t="s">
        <v>386</v>
      </c>
      <c r="F213" s="20" t="s">
        <v>401</v>
      </c>
      <c r="G213" s="33">
        <v>2</v>
      </c>
      <c r="H213" s="34">
        <f>VLOOKUP($C213,'Raw Cost'!$A$1:$B$484,2,FALSE)/G213</f>
        <v>1.4111111111111112</v>
      </c>
      <c r="I213" s="34">
        <f t="shared" si="77"/>
        <v>8.819444444444445E-2</v>
      </c>
      <c r="J213" s="35">
        <v>6.25</v>
      </c>
      <c r="K213" s="35">
        <v>0.25</v>
      </c>
      <c r="L213" s="36">
        <f>VLOOKUP($F213,'Packaging Cost'!$A$1:$F$43,6,FALSE)</f>
        <v>2.6</v>
      </c>
      <c r="M213" s="37">
        <f>IF($E213="Snakpak",(($J213*H213)+($K213*'Labor Cost'!$A$2)+L213)+2.25,($J213*H213)+($K213*'Labor Cost'!$A$2)+L213+1)</f>
        <v>19.544444444444444</v>
      </c>
      <c r="N213" s="38">
        <f t="shared" si="78"/>
        <v>24.430555555555557</v>
      </c>
      <c r="O213" s="38">
        <f t="shared" si="79"/>
        <v>25.407777777777778</v>
      </c>
      <c r="P213" s="38">
        <f t="shared" si="80"/>
        <v>26.385000000000002</v>
      </c>
      <c r="Q213" s="38">
        <f t="shared" si="81"/>
        <v>27.362222222222222</v>
      </c>
      <c r="R213" s="38">
        <f t="shared" si="82"/>
        <v>28.339444444444442</v>
      </c>
      <c r="S213" s="38">
        <f t="shared" si="83"/>
        <v>24.5</v>
      </c>
      <c r="T213" s="38">
        <f t="shared" si="84"/>
        <v>25.5</v>
      </c>
      <c r="U213" s="38">
        <f t="shared" si="85"/>
        <v>26.5</v>
      </c>
      <c r="V213" s="38">
        <f t="shared" si="86"/>
        <v>27.25</v>
      </c>
      <c r="W213" s="38">
        <f t="shared" si="87"/>
        <v>28.25</v>
      </c>
    </row>
    <row r="214" spans="1:23" ht="21" customHeight="1" x14ac:dyDescent="0.2">
      <c r="A214" s="19" t="s">
        <v>1250</v>
      </c>
      <c r="B214" s="19" t="s">
        <v>201</v>
      </c>
      <c r="C214" s="32" t="s">
        <v>1182</v>
      </c>
      <c r="D214" s="32" t="s">
        <v>385</v>
      </c>
      <c r="E214" s="20" t="s">
        <v>386</v>
      </c>
      <c r="F214" s="20" t="s">
        <v>401</v>
      </c>
      <c r="G214" s="33">
        <v>2</v>
      </c>
      <c r="H214" s="34">
        <f>VLOOKUP($C214,'Raw Cost'!$A$1:$B$484,2,FALSE)/G214</f>
        <v>1.4111111111111112</v>
      </c>
      <c r="I214" s="34">
        <f t="shared" si="77"/>
        <v>8.819444444444445E-2</v>
      </c>
      <c r="J214" s="35">
        <v>6.25</v>
      </c>
      <c r="K214" s="35">
        <v>0.25</v>
      </c>
      <c r="L214" s="36">
        <f>VLOOKUP($F214,'Packaging Cost'!$A$1:$F$43,6,FALSE)</f>
        <v>2.6</v>
      </c>
      <c r="M214" s="37">
        <f>IF($E214="Snakpak",(($J214*H214)+($K214*'Labor Cost'!$A$2)+L214)+2.25,($J214*H214)+($K214*'Labor Cost'!$A$2)+L214+1)</f>
        <v>19.544444444444444</v>
      </c>
      <c r="N214" s="38">
        <f t="shared" si="78"/>
        <v>40.430555555555557</v>
      </c>
      <c r="O214" s="38">
        <f t="shared" si="79"/>
        <v>41.407777777777781</v>
      </c>
      <c r="P214" s="38">
        <f t="shared" si="80"/>
        <v>42.385000000000005</v>
      </c>
      <c r="Q214" s="38">
        <f t="shared" si="81"/>
        <v>43.362222222222222</v>
      </c>
      <c r="R214" s="38">
        <f t="shared" si="82"/>
        <v>44.339444444444439</v>
      </c>
      <c r="S214" s="38">
        <f t="shared" si="83"/>
        <v>40.5</v>
      </c>
      <c r="T214" s="38">
        <f t="shared" si="84"/>
        <v>41.5</v>
      </c>
      <c r="U214" s="38">
        <f t="shared" si="85"/>
        <v>42.5</v>
      </c>
      <c r="V214" s="38">
        <f t="shared" si="86"/>
        <v>43.25</v>
      </c>
      <c r="W214" s="38">
        <f t="shared" si="87"/>
        <v>44.25</v>
      </c>
    </row>
    <row r="215" spans="1:23" ht="21" customHeight="1" x14ac:dyDescent="0.2">
      <c r="A215" s="19" t="s">
        <v>1219</v>
      </c>
      <c r="B215" s="19" t="s">
        <v>201</v>
      </c>
      <c r="C215" s="32" t="s">
        <v>1183</v>
      </c>
      <c r="D215" s="32" t="s">
        <v>384</v>
      </c>
      <c r="E215" s="20" t="s">
        <v>386</v>
      </c>
      <c r="F215" s="20" t="s">
        <v>401</v>
      </c>
      <c r="G215" s="33">
        <v>2</v>
      </c>
      <c r="H215" s="34">
        <f>VLOOKUP($C215,'Raw Cost'!$A$1:$B$484,2,FALSE)/G215</f>
        <v>1.2285714285714286</v>
      </c>
      <c r="I215" s="34">
        <f t="shared" si="77"/>
        <v>7.678571428571429E-2</v>
      </c>
      <c r="J215" s="35">
        <v>6.25</v>
      </c>
      <c r="K215" s="35">
        <v>0.25</v>
      </c>
      <c r="L215" s="36">
        <f>VLOOKUP($F215,'Packaging Cost'!$A$1:$F$43,6,FALSE)</f>
        <v>2.6</v>
      </c>
      <c r="M215" s="37">
        <f>IF($E215="Snakpak",(($J215*H215)+($K215*'Labor Cost'!$A$2)+L215)+2.25,($J215*H215)+($K215*'Labor Cost'!$A$2)+L215+1)</f>
        <v>18.403571428571428</v>
      </c>
      <c r="N215" s="38">
        <f t="shared" si="78"/>
        <v>23.004464285714285</v>
      </c>
      <c r="O215" s="38">
        <f t="shared" si="79"/>
        <v>23.924642857142857</v>
      </c>
      <c r="P215" s="38">
        <f t="shared" si="80"/>
        <v>24.844821428571429</v>
      </c>
      <c r="Q215" s="38">
        <f t="shared" si="81"/>
        <v>25.764999999999997</v>
      </c>
      <c r="R215" s="38">
        <f t="shared" si="82"/>
        <v>26.685178571428569</v>
      </c>
      <c r="S215" s="38">
        <f t="shared" si="83"/>
        <v>23</v>
      </c>
      <c r="T215" s="38">
        <f t="shared" si="84"/>
        <v>24</v>
      </c>
      <c r="U215" s="38">
        <f t="shared" si="85"/>
        <v>24.75</v>
      </c>
      <c r="V215" s="38">
        <f t="shared" si="86"/>
        <v>25.75</v>
      </c>
      <c r="W215" s="38">
        <f t="shared" si="87"/>
        <v>26.75</v>
      </c>
    </row>
    <row r="216" spans="1:23" ht="21" customHeight="1" x14ac:dyDescent="0.2">
      <c r="A216" s="19" t="s">
        <v>1251</v>
      </c>
      <c r="B216" s="19" t="s">
        <v>201</v>
      </c>
      <c r="C216" s="32" t="s">
        <v>1183</v>
      </c>
      <c r="D216" s="32" t="s">
        <v>385</v>
      </c>
      <c r="E216" s="20" t="s">
        <v>386</v>
      </c>
      <c r="F216" s="20" t="s">
        <v>401</v>
      </c>
      <c r="G216" s="33">
        <v>2</v>
      </c>
      <c r="H216" s="34">
        <f>VLOOKUP($C216,'Raw Cost'!$A$1:$B$484,2,FALSE)/G216</f>
        <v>1.2285714285714286</v>
      </c>
      <c r="I216" s="34">
        <f t="shared" si="77"/>
        <v>7.678571428571429E-2</v>
      </c>
      <c r="J216" s="35">
        <v>6.25</v>
      </c>
      <c r="K216" s="35">
        <v>0.25</v>
      </c>
      <c r="L216" s="36">
        <f>VLOOKUP($F216,'Packaging Cost'!$A$1:$F$43,6,FALSE)</f>
        <v>2.6</v>
      </c>
      <c r="M216" s="37">
        <f>IF($E216="Snakpak",(($J216*H216)+($K216*'Labor Cost'!$A$2)+L216)+2.25,($J216*H216)+($K216*'Labor Cost'!$A$2)+L216+1)</f>
        <v>18.403571428571428</v>
      </c>
      <c r="N216" s="38">
        <f t="shared" si="78"/>
        <v>39.004464285714285</v>
      </c>
      <c r="O216" s="38">
        <f t="shared" si="79"/>
        <v>39.924642857142857</v>
      </c>
      <c r="P216" s="38">
        <f t="shared" si="80"/>
        <v>40.844821428571429</v>
      </c>
      <c r="Q216" s="38">
        <f t="shared" si="81"/>
        <v>41.765000000000001</v>
      </c>
      <c r="R216" s="38">
        <f t="shared" si="82"/>
        <v>42.685178571428565</v>
      </c>
      <c r="S216" s="38">
        <f t="shared" si="83"/>
        <v>39</v>
      </c>
      <c r="T216" s="38">
        <f t="shared" si="84"/>
        <v>40</v>
      </c>
      <c r="U216" s="38">
        <f t="shared" si="85"/>
        <v>40.75</v>
      </c>
      <c r="V216" s="38">
        <f t="shared" si="86"/>
        <v>41.75</v>
      </c>
      <c r="W216" s="38">
        <f t="shared" si="87"/>
        <v>42.75</v>
      </c>
    </row>
    <row r="217" spans="1:23" ht="21" customHeight="1" x14ac:dyDescent="0.2">
      <c r="A217" s="19" t="s">
        <v>519</v>
      </c>
      <c r="B217" s="19" t="s">
        <v>203</v>
      </c>
      <c r="C217" s="20" t="s">
        <v>11</v>
      </c>
      <c r="D217" s="20" t="s">
        <v>384</v>
      </c>
      <c r="E217" s="20" t="s">
        <v>386</v>
      </c>
      <c r="F217" s="20" t="s">
        <v>401</v>
      </c>
      <c r="G217" s="33">
        <v>32</v>
      </c>
      <c r="H217" s="34">
        <f>VLOOKUP($C217,'Raw Cost'!$A$1:$B$484,2,FALSE)/G217</f>
        <v>0.9375</v>
      </c>
      <c r="I217" s="34">
        <f t="shared" si="77"/>
        <v>5.859375E-2</v>
      </c>
      <c r="J217" s="35">
        <v>6.25</v>
      </c>
      <c r="K217" s="35">
        <v>0.25</v>
      </c>
      <c r="L217" s="36">
        <f>VLOOKUP($F217,'Packaging Cost'!$A$1:$F$43,6,FALSE)</f>
        <v>2.6</v>
      </c>
      <c r="M217" s="37">
        <f>IF($E217="Snakpak",(($J217*H217)+($K217*'Labor Cost'!$A$2)+L217)+2.25,($J217*H217)+($K217*'Labor Cost'!$A$2)+L217+1)</f>
        <v>16.584375000000001</v>
      </c>
      <c r="N217" s="38">
        <f t="shared" si="78"/>
        <v>20.73046875</v>
      </c>
      <c r="O217" s="38">
        <f t="shared" si="79"/>
        <v>21.559687500000003</v>
      </c>
      <c r="P217" s="38">
        <f t="shared" si="80"/>
        <v>22.388906250000005</v>
      </c>
      <c r="Q217" s="38">
        <f t="shared" si="81"/>
        <v>23.218125000000001</v>
      </c>
      <c r="R217" s="38">
        <f t="shared" si="82"/>
        <v>24.04734375</v>
      </c>
      <c r="S217" s="38">
        <f t="shared" si="83"/>
        <v>20.75</v>
      </c>
      <c r="T217" s="38">
        <f t="shared" si="84"/>
        <v>21.5</v>
      </c>
      <c r="U217" s="38">
        <f t="shared" si="85"/>
        <v>22.5</v>
      </c>
      <c r="V217" s="38">
        <f t="shared" si="86"/>
        <v>23.25</v>
      </c>
      <c r="W217" s="38">
        <f t="shared" si="87"/>
        <v>24</v>
      </c>
    </row>
    <row r="218" spans="1:23" ht="21" customHeight="1" x14ac:dyDescent="0.2">
      <c r="A218" s="19" t="s">
        <v>520</v>
      </c>
      <c r="B218" s="19" t="s">
        <v>204</v>
      </c>
      <c r="C218" s="20" t="s">
        <v>11</v>
      </c>
      <c r="D218" s="20" t="s">
        <v>385</v>
      </c>
      <c r="E218" s="20" t="s">
        <v>386</v>
      </c>
      <c r="F218" s="20" t="s">
        <v>401</v>
      </c>
      <c r="G218" s="33">
        <v>32</v>
      </c>
      <c r="H218" s="34">
        <f>VLOOKUP($C218,'Raw Cost'!$A$1:$B$484,2,FALSE)/G218</f>
        <v>0.9375</v>
      </c>
      <c r="I218" s="34">
        <f t="shared" si="77"/>
        <v>5.859375E-2</v>
      </c>
      <c r="J218" s="35">
        <v>6.25</v>
      </c>
      <c r="K218" s="35">
        <v>0.25</v>
      </c>
      <c r="L218" s="36">
        <f>VLOOKUP($F218,'Packaging Cost'!$A$1:$F$43,6,FALSE)</f>
        <v>2.6</v>
      </c>
      <c r="M218" s="37">
        <f>IF($E218="Snakpak",(($J218*H218)+($K218*'Labor Cost'!$A$2)+L218)+2.25,($J218*H218)+($K218*'Labor Cost'!$A$2)+L218+1)</f>
        <v>16.584375000000001</v>
      </c>
      <c r="N218" s="38">
        <f t="shared" si="78"/>
        <v>36.73046875</v>
      </c>
      <c r="O218" s="38">
        <f t="shared" si="79"/>
        <v>37.559687500000003</v>
      </c>
      <c r="P218" s="38">
        <f t="shared" si="80"/>
        <v>38.388906250000005</v>
      </c>
      <c r="Q218" s="38">
        <f t="shared" si="81"/>
        <v>39.218125000000001</v>
      </c>
      <c r="R218" s="38">
        <f t="shared" si="82"/>
        <v>40.047343749999996</v>
      </c>
      <c r="S218" s="38">
        <f t="shared" si="83"/>
        <v>36.75</v>
      </c>
      <c r="T218" s="38">
        <f t="shared" si="84"/>
        <v>37.5</v>
      </c>
      <c r="U218" s="38">
        <f t="shared" si="85"/>
        <v>38.5</v>
      </c>
      <c r="V218" s="38">
        <f t="shared" si="86"/>
        <v>39.25</v>
      </c>
      <c r="W218" s="38">
        <f t="shared" si="87"/>
        <v>40</v>
      </c>
    </row>
    <row r="219" spans="1:23" ht="21" customHeight="1" x14ac:dyDescent="0.2">
      <c r="A219" s="19" t="s">
        <v>1220</v>
      </c>
      <c r="B219" s="19" t="s">
        <v>201</v>
      </c>
      <c r="C219" s="32" t="s">
        <v>1184</v>
      </c>
      <c r="D219" s="32" t="s">
        <v>384</v>
      </c>
      <c r="E219" s="20" t="s">
        <v>386</v>
      </c>
      <c r="F219" s="20" t="s">
        <v>401</v>
      </c>
      <c r="G219" s="33">
        <v>2</v>
      </c>
      <c r="H219" s="34">
        <f>VLOOKUP($C219,'Raw Cost'!$A$1:$B$484,2,FALSE)/G219</f>
        <v>1.8</v>
      </c>
      <c r="I219" s="34">
        <f t="shared" si="77"/>
        <v>0.1125</v>
      </c>
      <c r="J219" s="35">
        <v>6.25</v>
      </c>
      <c r="K219" s="35">
        <v>0.25</v>
      </c>
      <c r="L219" s="36">
        <f>VLOOKUP($F219,'Packaging Cost'!$A$1:$F$43,6,FALSE)</f>
        <v>2.6</v>
      </c>
      <c r="M219" s="37">
        <f>IF($E219="Snakpak",(($J219*H219)+($K219*'Labor Cost'!$A$2)+L219)+2.25,($J219*H219)+($K219*'Labor Cost'!$A$2)+L219+1)</f>
        <v>21.975000000000001</v>
      </c>
      <c r="N219" s="38">
        <f t="shared" si="78"/>
        <v>27.46875</v>
      </c>
      <c r="O219" s="38">
        <f t="shared" si="79"/>
        <v>28.567500000000003</v>
      </c>
      <c r="P219" s="38">
        <f t="shared" si="80"/>
        <v>29.666250000000005</v>
      </c>
      <c r="Q219" s="38">
        <f t="shared" si="81"/>
        <v>30.765000000000001</v>
      </c>
      <c r="R219" s="38">
        <f t="shared" si="82"/>
        <v>31.86375</v>
      </c>
      <c r="S219" s="38">
        <f t="shared" si="83"/>
        <v>27.5</v>
      </c>
      <c r="T219" s="38">
        <f t="shared" si="84"/>
        <v>28.5</v>
      </c>
      <c r="U219" s="38">
        <f t="shared" si="85"/>
        <v>29.75</v>
      </c>
      <c r="V219" s="38">
        <f t="shared" si="86"/>
        <v>30.75</v>
      </c>
      <c r="W219" s="38">
        <f t="shared" si="87"/>
        <v>31.75</v>
      </c>
    </row>
    <row r="220" spans="1:23" ht="21" customHeight="1" x14ac:dyDescent="0.2">
      <c r="A220" s="19" t="s">
        <v>1252</v>
      </c>
      <c r="B220" s="19" t="s">
        <v>201</v>
      </c>
      <c r="C220" s="32" t="s">
        <v>1184</v>
      </c>
      <c r="D220" s="32" t="s">
        <v>1253</v>
      </c>
      <c r="E220" s="20" t="s">
        <v>386</v>
      </c>
      <c r="F220" s="20" t="s">
        <v>401</v>
      </c>
      <c r="G220" s="33">
        <v>2</v>
      </c>
      <c r="H220" s="34">
        <f>VLOOKUP($C220,'Raw Cost'!$A$1:$B$484,2,FALSE)/G220</f>
        <v>1.8</v>
      </c>
      <c r="I220" s="34">
        <f t="shared" si="77"/>
        <v>0.1125</v>
      </c>
      <c r="J220" s="35">
        <v>6.25</v>
      </c>
      <c r="K220" s="35">
        <v>0.25</v>
      </c>
      <c r="L220" s="36">
        <f>VLOOKUP($F220,'Packaging Cost'!$A$1:$F$43,6,FALSE)</f>
        <v>2.6</v>
      </c>
      <c r="M220" s="37">
        <f>IF($E220="Snakpak",(($J220*H220)+($K220*'Labor Cost'!$A$2)+L220)+2.25,($J220*H220)+($K220*'Labor Cost'!$A$2)+L220+1)</f>
        <v>21.975000000000001</v>
      </c>
      <c r="N220" s="38">
        <f t="shared" si="78"/>
        <v>43.46875</v>
      </c>
      <c r="O220" s="38">
        <f t="shared" si="79"/>
        <v>44.567500000000003</v>
      </c>
      <c r="P220" s="38">
        <f t="shared" si="80"/>
        <v>45.666250000000005</v>
      </c>
      <c r="Q220" s="38">
        <f t="shared" si="81"/>
        <v>46.765000000000001</v>
      </c>
      <c r="R220" s="38">
        <f t="shared" si="82"/>
        <v>47.863749999999996</v>
      </c>
      <c r="S220" s="38">
        <f t="shared" si="83"/>
        <v>43.5</v>
      </c>
      <c r="T220" s="38">
        <f t="shared" si="84"/>
        <v>44.5</v>
      </c>
      <c r="U220" s="38">
        <f t="shared" si="85"/>
        <v>45.75</v>
      </c>
      <c r="V220" s="38">
        <f t="shared" si="86"/>
        <v>46.75</v>
      </c>
      <c r="W220" s="38">
        <f t="shared" si="87"/>
        <v>47.75</v>
      </c>
    </row>
    <row r="221" spans="1:23" ht="21" customHeight="1" x14ac:dyDescent="0.2">
      <c r="A221" s="19" t="s">
        <v>1221</v>
      </c>
      <c r="B221" s="19" t="s">
        <v>201</v>
      </c>
      <c r="C221" s="32" t="s">
        <v>1185</v>
      </c>
      <c r="D221" s="32" t="s">
        <v>384</v>
      </c>
      <c r="E221" s="20" t="s">
        <v>386</v>
      </c>
      <c r="F221" s="20" t="s">
        <v>401</v>
      </c>
      <c r="G221" s="33">
        <v>2</v>
      </c>
      <c r="H221" s="34">
        <f>VLOOKUP($C221,'Raw Cost'!$A$1:$B$484,2,FALSE)/G221</f>
        <v>1.4724137931034482</v>
      </c>
      <c r="I221" s="34">
        <f t="shared" si="77"/>
        <v>9.2025862068965514E-2</v>
      </c>
      <c r="J221" s="35">
        <v>6.25</v>
      </c>
      <c r="K221" s="35">
        <v>0.25</v>
      </c>
      <c r="L221" s="36">
        <f>VLOOKUP($F221,'Packaging Cost'!$A$1:$F$43,6,FALSE)</f>
        <v>2.6</v>
      </c>
      <c r="M221" s="37">
        <f>IF($E221="Snakpak",(($J221*H221)+($K221*'Labor Cost'!$A$2)+L221)+2.25,($J221*H221)+($K221*'Labor Cost'!$A$2)+L221+1)</f>
        <v>19.927586206896553</v>
      </c>
      <c r="N221" s="38">
        <f t="shared" si="78"/>
        <v>24.90948275862069</v>
      </c>
      <c r="O221" s="38">
        <f t="shared" si="79"/>
        <v>25.905862068965519</v>
      </c>
      <c r="P221" s="38">
        <f t="shared" si="80"/>
        <v>26.902241379310347</v>
      </c>
      <c r="Q221" s="38">
        <f t="shared" si="81"/>
        <v>27.898620689655171</v>
      </c>
      <c r="R221" s="38">
        <f t="shared" si="82"/>
        <v>28.895</v>
      </c>
      <c r="S221" s="38">
        <f t="shared" si="83"/>
        <v>25</v>
      </c>
      <c r="T221" s="38">
        <f t="shared" si="84"/>
        <v>26</v>
      </c>
      <c r="U221" s="38">
        <f t="shared" si="85"/>
        <v>27</v>
      </c>
      <c r="V221" s="38">
        <f t="shared" si="86"/>
        <v>28</v>
      </c>
      <c r="W221" s="38">
        <f t="shared" si="87"/>
        <v>29</v>
      </c>
    </row>
    <row r="222" spans="1:23" ht="21" customHeight="1" x14ac:dyDescent="0.2">
      <c r="A222" s="19" t="s">
        <v>1254</v>
      </c>
      <c r="B222" s="19" t="s">
        <v>201</v>
      </c>
      <c r="C222" s="32" t="s">
        <v>1185</v>
      </c>
      <c r="D222" s="32" t="s">
        <v>385</v>
      </c>
      <c r="E222" s="20" t="s">
        <v>386</v>
      </c>
      <c r="F222" s="20" t="s">
        <v>401</v>
      </c>
      <c r="G222" s="33">
        <v>2</v>
      </c>
      <c r="H222" s="34">
        <f>VLOOKUP($C222,'Raw Cost'!$A$1:$B$484,2,FALSE)/G222</f>
        <v>1.4724137931034482</v>
      </c>
      <c r="I222" s="34">
        <f t="shared" si="77"/>
        <v>9.2025862068965514E-2</v>
      </c>
      <c r="J222" s="35">
        <v>6.25</v>
      </c>
      <c r="K222" s="35">
        <v>0.25</v>
      </c>
      <c r="L222" s="36">
        <f>VLOOKUP($F222,'Packaging Cost'!$A$1:$F$43,6,FALSE)</f>
        <v>2.6</v>
      </c>
      <c r="M222" s="37">
        <f>IF($E222="Snakpak",(($J222*H222)+($K222*'Labor Cost'!$A$2)+L222)+2.25,($J222*H222)+($K222*'Labor Cost'!$A$2)+L222+1)</f>
        <v>19.927586206896553</v>
      </c>
      <c r="N222" s="38">
        <f t="shared" si="78"/>
        <v>40.90948275862069</v>
      </c>
      <c r="O222" s="38">
        <f t="shared" si="79"/>
        <v>41.905862068965519</v>
      </c>
      <c r="P222" s="38">
        <f t="shared" si="80"/>
        <v>42.902241379310347</v>
      </c>
      <c r="Q222" s="38">
        <f t="shared" si="81"/>
        <v>43.898620689655175</v>
      </c>
      <c r="R222" s="38">
        <f t="shared" si="82"/>
        <v>44.894999999999996</v>
      </c>
      <c r="S222" s="38">
        <f t="shared" si="83"/>
        <v>41</v>
      </c>
      <c r="T222" s="38">
        <f t="shared" si="84"/>
        <v>42</v>
      </c>
      <c r="U222" s="38">
        <f t="shared" si="85"/>
        <v>43</v>
      </c>
      <c r="V222" s="38">
        <f t="shared" si="86"/>
        <v>44</v>
      </c>
      <c r="W222" s="38">
        <f t="shared" si="87"/>
        <v>45</v>
      </c>
    </row>
    <row r="223" spans="1:23" ht="21" customHeight="1" x14ac:dyDescent="0.2">
      <c r="A223" s="19" t="s">
        <v>517</v>
      </c>
      <c r="B223" s="19" t="s">
        <v>205</v>
      </c>
      <c r="C223" s="32" t="s">
        <v>13</v>
      </c>
      <c r="D223" s="32" t="s">
        <v>384</v>
      </c>
      <c r="E223" s="20" t="s">
        <v>386</v>
      </c>
      <c r="F223" s="20" t="s">
        <v>402</v>
      </c>
      <c r="G223" s="33">
        <v>20</v>
      </c>
      <c r="H223" s="34">
        <f>VLOOKUP($C223,'Raw Cost'!$A$1:$B$484,2,FALSE)/G223</f>
        <v>1.7</v>
      </c>
      <c r="I223" s="34">
        <f t="shared" si="77"/>
        <v>0.10625</v>
      </c>
      <c r="J223" s="35">
        <v>12.5</v>
      </c>
      <c r="K223" s="35">
        <v>0.25</v>
      </c>
      <c r="L223" s="36">
        <f>VLOOKUP($F223,'Packaging Cost'!$A$1:$F$43,6,FALSE)</f>
        <v>4.3499999999999996</v>
      </c>
      <c r="M223" s="37">
        <f>IF($E223="Snakpak",(($J223*H223)+($K223*'Labor Cost'!$A$2)+L223)+2.25,($J223*H223)+($K223*'Labor Cost'!$A$2)+L223+1)</f>
        <v>33.725000000000001</v>
      </c>
      <c r="N223" s="38">
        <f t="shared" si="78"/>
        <v>42.15625</v>
      </c>
      <c r="O223" s="38">
        <f t="shared" si="79"/>
        <v>43.842500000000001</v>
      </c>
      <c r="P223" s="38">
        <f t="shared" si="80"/>
        <v>45.528750000000002</v>
      </c>
      <c r="Q223" s="38">
        <f t="shared" si="81"/>
        <v>47.214999999999996</v>
      </c>
      <c r="R223" s="38">
        <f t="shared" si="82"/>
        <v>48.901249999999997</v>
      </c>
      <c r="S223" s="38">
        <f t="shared" si="83"/>
        <v>42.25</v>
      </c>
      <c r="T223" s="38">
        <f t="shared" si="84"/>
        <v>43.75</v>
      </c>
      <c r="U223" s="38">
        <f t="shared" si="85"/>
        <v>45.5</v>
      </c>
      <c r="V223" s="38">
        <f t="shared" si="86"/>
        <v>47.25</v>
      </c>
      <c r="W223" s="38">
        <f t="shared" si="87"/>
        <v>49</v>
      </c>
    </row>
    <row r="224" spans="1:23" ht="21" customHeight="1" x14ac:dyDescent="0.2">
      <c r="A224" s="19" t="s">
        <v>516</v>
      </c>
      <c r="B224" s="19" t="s">
        <v>206</v>
      </c>
      <c r="C224" s="32" t="s">
        <v>13</v>
      </c>
      <c r="D224" s="32" t="s">
        <v>384</v>
      </c>
      <c r="E224" s="20" t="s">
        <v>386</v>
      </c>
      <c r="F224" s="20" t="s">
        <v>401</v>
      </c>
      <c r="G224" s="33">
        <v>20</v>
      </c>
      <c r="H224" s="34">
        <f>VLOOKUP($C224,'Raw Cost'!$A$1:$B$484,2,FALSE)/G224</f>
        <v>1.7</v>
      </c>
      <c r="I224" s="34">
        <f t="shared" si="77"/>
        <v>0.10625</v>
      </c>
      <c r="J224" s="35">
        <v>6.25</v>
      </c>
      <c r="K224" s="35">
        <v>0.25</v>
      </c>
      <c r="L224" s="36">
        <f>VLOOKUP($F224,'Packaging Cost'!$A$1:$F$43,6,FALSE)</f>
        <v>2.6</v>
      </c>
      <c r="M224" s="37">
        <f>IF($E224="Snakpak",(($J224*H224)+($K224*'Labor Cost'!$A$2)+L224)+2.25,($J224*H224)+($K224*'Labor Cost'!$A$2)+L224+1)</f>
        <v>21.35</v>
      </c>
      <c r="N224" s="38">
        <f t="shared" si="78"/>
        <v>26.6875</v>
      </c>
      <c r="O224" s="38">
        <f t="shared" si="79"/>
        <v>27.755000000000003</v>
      </c>
      <c r="P224" s="38">
        <f t="shared" si="80"/>
        <v>28.822500000000005</v>
      </c>
      <c r="Q224" s="38">
        <f t="shared" si="81"/>
        <v>29.89</v>
      </c>
      <c r="R224" s="38">
        <f t="shared" si="82"/>
        <v>30.9575</v>
      </c>
      <c r="S224" s="38">
        <f t="shared" si="83"/>
        <v>26.75</v>
      </c>
      <c r="T224" s="38">
        <f t="shared" si="84"/>
        <v>27.75</v>
      </c>
      <c r="U224" s="38">
        <f t="shared" si="85"/>
        <v>28.75</v>
      </c>
      <c r="V224" s="38">
        <f t="shared" si="86"/>
        <v>30</v>
      </c>
      <c r="W224" s="38">
        <f t="shared" si="87"/>
        <v>31</v>
      </c>
    </row>
    <row r="225" spans="1:23" ht="21" customHeight="1" x14ac:dyDescent="0.2">
      <c r="A225" s="19" t="s">
        <v>518</v>
      </c>
      <c r="B225" s="19" t="s">
        <v>207</v>
      </c>
      <c r="C225" s="20" t="s">
        <v>13</v>
      </c>
      <c r="D225" s="20" t="s">
        <v>385</v>
      </c>
      <c r="E225" s="20" t="s">
        <v>386</v>
      </c>
      <c r="F225" s="20" t="s">
        <v>401</v>
      </c>
      <c r="G225" s="33">
        <v>20</v>
      </c>
      <c r="H225" s="34">
        <f>VLOOKUP($C225,'Raw Cost'!$A$1:$B$484,2,FALSE)/G225</f>
        <v>1.7</v>
      </c>
      <c r="I225" s="34">
        <f t="shared" si="77"/>
        <v>0.10625</v>
      </c>
      <c r="J225" s="35">
        <v>6.25</v>
      </c>
      <c r="K225" s="35">
        <v>0.25</v>
      </c>
      <c r="L225" s="36">
        <f>VLOOKUP($F225,'Packaging Cost'!$A$1:$F$43,6,FALSE)</f>
        <v>2.6</v>
      </c>
      <c r="M225" s="37">
        <f>IF($E225="Snakpak",(($J225*H225)+($K225*'Labor Cost'!$A$2)+L225)+2.25,($J225*H225)+($K225*'Labor Cost'!$A$2)+L225+1)</f>
        <v>21.35</v>
      </c>
      <c r="N225" s="38">
        <f t="shared" si="78"/>
        <v>42.6875</v>
      </c>
      <c r="O225" s="38">
        <f t="shared" si="79"/>
        <v>43.755000000000003</v>
      </c>
      <c r="P225" s="38">
        <f t="shared" si="80"/>
        <v>44.822500000000005</v>
      </c>
      <c r="Q225" s="38">
        <f t="shared" si="81"/>
        <v>45.89</v>
      </c>
      <c r="R225" s="38">
        <f t="shared" si="82"/>
        <v>46.957499999999996</v>
      </c>
      <c r="S225" s="38">
        <f t="shared" si="83"/>
        <v>42.75</v>
      </c>
      <c r="T225" s="38">
        <f t="shared" si="84"/>
        <v>43.75</v>
      </c>
      <c r="U225" s="38">
        <f t="shared" si="85"/>
        <v>44.75</v>
      </c>
      <c r="V225" s="38">
        <f t="shared" si="86"/>
        <v>46</v>
      </c>
      <c r="W225" s="38">
        <f t="shared" si="87"/>
        <v>47</v>
      </c>
    </row>
    <row r="226" spans="1:23" ht="21" customHeight="1" x14ac:dyDescent="0.2">
      <c r="A226" s="19" t="s">
        <v>1222</v>
      </c>
      <c r="B226" s="19" t="s">
        <v>201</v>
      </c>
      <c r="C226" s="32" t="s">
        <v>1186</v>
      </c>
      <c r="D226" s="32" t="s">
        <v>384</v>
      </c>
      <c r="E226" s="20" t="s">
        <v>386</v>
      </c>
      <c r="F226" s="20" t="s">
        <v>401</v>
      </c>
      <c r="G226" s="33">
        <v>2</v>
      </c>
      <c r="H226" s="34">
        <f>VLOOKUP($C226,'Raw Cost'!$A$1:$B$484,2,FALSE)/G226</f>
        <v>2.1500000000000004</v>
      </c>
      <c r="I226" s="34">
        <f t="shared" si="77"/>
        <v>0.13437500000000002</v>
      </c>
      <c r="J226" s="35">
        <v>6.25</v>
      </c>
      <c r="K226" s="35">
        <v>0.25</v>
      </c>
      <c r="L226" s="36">
        <f>VLOOKUP($F226,'Packaging Cost'!$A$1:$F$43,6,FALSE)</f>
        <v>2.6</v>
      </c>
      <c r="M226" s="37">
        <f>IF($E226="Snakpak",(($J226*H226)+($K226*'Labor Cost'!$A$2)+L226)+2.25,($J226*H226)+($K226*'Labor Cost'!$A$2)+L226+1)</f>
        <v>24.162500000000001</v>
      </c>
      <c r="N226" s="38">
        <f t="shared" si="78"/>
        <v>30.203125</v>
      </c>
      <c r="O226" s="38">
        <f t="shared" si="79"/>
        <v>31.411250000000003</v>
      </c>
      <c r="P226" s="38">
        <f t="shared" si="80"/>
        <v>32.619375000000005</v>
      </c>
      <c r="Q226" s="38">
        <f t="shared" si="81"/>
        <v>33.827500000000001</v>
      </c>
      <c r="R226" s="38">
        <f t="shared" si="82"/>
        <v>35.035625000000003</v>
      </c>
      <c r="S226" s="38">
        <f t="shared" si="83"/>
        <v>30.25</v>
      </c>
      <c r="T226" s="38">
        <f t="shared" si="84"/>
        <v>31.5</v>
      </c>
      <c r="U226" s="38">
        <f t="shared" si="85"/>
        <v>32.5</v>
      </c>
      <c r="V226" s="38">
        <f t="shared" si="86"/>
        <v>33.75</v>
      </c>
      <c r="W226" s="38">
        <f t="shared" si="87"/>
        <v>35</v>
      </c>
    </row>
    <row r="227" spans="1:23" ht="21" customHeight="1" x14ac:dyDescent="0.2">
      <c r="A227" s="19" t="s">
        <v>1255</v>
      </c>
      <c r="B227" s="19" t="s">
        <v>201</v>
      </c>
      <c r="C227" s="32" t="s">
        <v>1186</v>
      </c>
      <c r="D227" s="32" t="s">
        <v>385</v>
      </c>
      <c r="E227" s="20" t="s">
        <v>386</v>
      </c>
      <c r="F227" s="20" t="s">
        <v>401</v>
      </c>
      <c r="G227" s="33">
        <v>2</v>
      </c>
      <c r="H227" s="34">
        <f>VLOOKUP($C227,'Raw Cost'!$A$1:$B$484,2,FALSE)/G227</f>
        <v>2.1500000000000004</v>
      </c>
      <c r="I227" s="34">
        <f t="shared" si="77"/>
        <v>0.13437500000000002</v>
      </c>
      <c r="J227" s="35">
        <v>6.25</v>
      </c>
      <c r="K227" s="35">
        <v>0.25</v>
      </c>
      <c r="L227" s="36">
        <f>VLOOKUP($F227,'Packaging Cost'!$A$1:$F$43,6,FALSE)</f>
        <v>2.6</v>
      </c>
      <c r="M227" s="37">
        <f>IF($E227="Snakpak",(($J227*H227)+($K227*'Labor Cost'!$A$2)+L227)+2.25,($J227*H227)+($K227*'Labor Cost'!$A$2)+L227+1)</f>
        <v>24.162500000000001</v>
      </c>
      <c r="N227" s="38">
        <f t="shared" si="78"/>
        <v>46.203125</v>
      </c>
      <c r="O227" s="38">
        <f t="shared" si="79"/>
        <v>47.411250000000003</v>
      </c>
      <c r="P227" s="38">
        <f t="shared" si="80"/>
        <v>48.619375000000005</v>
      </c>
      <c r="Q227" s="38">
        <f t="shared" si="81"/>
        <v>49.827500000000001</v>
      </c>
      <c r="R227" s="38">
        <f t="shared" si="82"/>
        <v>51.035625000000003</v>
      </c>
      <c r="S227" s="38">
        <f t="shared" si="83"/>
        <v>46.25</v>
      </c>
      <c r="T227" s="38">
        <f t="shared" si="84"/>
        <v>47.5</v>
      </c>
      <c r="U227" s="38">
        <f t="shared" si="85"/>
        <v>48.5</v>
      </c>
      <c r="V227" s="38">
        <f t="shared" si="86"/>
        <v>49.75</v>
      </c>
      <c r="W227" s="38">
        <f t="shared" si="87"/>
        <v>51</v>
      </c>
    </row>
    <row r="228" spans="1:23" ht="21" customHeight="1" x14ac:dyDescent="0.2">
      <c r="A228" s="19" t="s">
        <v>1223</v>
      </c>
      <c r="B228" s="19" t="s">
        <v>190</v>
      </c>
      <c r="C228" s="32" t="s">
        <v>1187</v>
      </c>
      <c r="D228" s="32" t="s">
        <v>384</v>
      </c>
      <c r="E228" s="20" t="s">
        <v>386</v>
      </c>
      <c r="F228" s="20" t="s">
        <v>401</v>
      </c>
      <c r="G228" s="33">
        <v>2</v>
      </c>
      <c r="H228" s="34">
        <f>VLOOKUP($C228,'Raw Cost'!$A$1:$B$484,2,FALSE)/G228</f>
        <v>2.1593749999999998</v>
      </c>
      <c r="I228" s="34">
        <f t="shared" si="77"/>
        <v>0.13496093749999999</v>
      </c>
      <c r="J228" s="35">
        <v>6.25</v>
      </c>
      <c r="K228" s="35">
        <v>0.25</v>
      </c>
      <c r="L228" s="36">
        <f>VLOOKUP($F228,'Packaging Cost'!$A$1:$F$43,6,FALSE)</f>
        <v>2.6</v>
      </c>
      <c r="M228" s="37">
        <f>IF($E228="Snakpak",(($J228*H228)+($K228*'Labor Cost'!$A$2)+L228)+2.25,($J228*H228)+($K228*'Labor Cost'!$A$2)+L228+1)</f>
        <v>24.221093750000001</v>
      </c>
      <c r="N228" s="38">
        <f t="shared" si="78"/>
        <v>30.2763671875</v>
      </c>
      <c r="O228" s="38">
        <f t="shared" si="79"/>
        <v>31.487421875000003</v>
      </c>
      <c r="P228" s="38">
        <f t="shared" si="80"/>
        <v>32.698476562500005</v>
      </c>
      <c r="Q228" s="38">
        <f t="shared" si="81"/>
        <v>33.909531250000001</v>
      </c>
      <c r="R228" s="38">
        <f t="shared" si="82"/>
        <v>35.120585937500003</v>
      </c>
      <c r="S228" s="38">
        <f t="shared" si="83"/>
        <v>30.25</v>
      </c>
      <c r="T228" s="38">
        <f t="shared" si="84"/>
        <v>31.5</v>
      </c>
      <c r="U228" s="38">
        <f t="shared" si="85"/>
        <v>32.75</v>
      </c>
      <c r="V228" s="38">
        <f t="shared" si="86"/>
        <v>34</v>
      </c>
      <c r="W228" s="38">
        <f t="shared" si="87"/>
        <v>35</v>
      </c>
    </row>
    <row r="229" spans="1:23" ht="21" customHeight="1" x14ac:dyDescent="0.2">
      <c r="A229" s="19" t="s">
        <v>1258</v>
      </c>
      <c r="B229" s="19" t="s">
        <v>190</v>
      </c>
      <c r="C229" s="32" t="s">
        <v>1187</v>
      </c>
      <c r="D229" s="32" t="s">
        <v>384</v>
      </c>
      <c r="E229" s="20" t="s">
        <v>386</v>
      </c>
      <c r="F229" s="20" t="s">
        <v>401</v>
      </c>
      <c r="G229" s="33">
        <v>2</v>
      </c>
      <c r="H229" s="34">
        <f>VLOOKUP($C229,'Raw Cost'!$A$1:$B$484,2,FALSE)/G229</f>
        <v>2.1593749999999998</v>
      </c>
      <c r="I229" s="34">
        <f t="shared" si="77"/>
        <v>0.13496093749999999</v>
      </c>
      <c r="J229" s="35">
        <v>6.25</v>
      </c>
      <c r="K229" s="35">
        <v>0.25</v>
      </c>
      <c r="L229" s="36">
        <f>VLOOKUP($F229,'Packaging Cost'!$A$1:$F$43,6,FALSE)</f>
        <v>2.6</v>
      </c>
      <c r="M229" s="37">
        <f>IF($E229="Snakpak",(($J229*H229)+($K229*'Labor Cost'!$A$2)+L229)+2.25,($J229*H229)+($K229*'Labor Cost'!$A$2)+L229+1)</f>
        <v>24.221093750000001</v>
      </c>
      <c r="N229" s="38">
        <f t="shared" si="78"/>
        <v>30.2763671875</v>
      </c>
      <c r="O229" s="38">
        <f t="shared" si="79"/>
        <v>31.487421875000003</v>
      </c>
      <c r="P229" s="38">
        <f t="shared" si="80"/>
        <v>32.698476562500005</v>
      </c>
      <c r="Q229" s="38">
        <f t="shared" si="81"/>
        <v>33.909531250000001</v>
      </c>
      <c r="R229" s="38">
        <f t="shared" si="82"/>
        <v>35.120585937500003</v>
      </c>
      <c r="S229" s="38">
        <f t="shared" si="83"/>
        <v>30.25</v>
      </c>
      <c r="T229" s="38">
        <f t="shared" si="84"/>
        <v>31.5</v>
      </c>
      <c r="U229" s="38">
        <f t="shared" si="85"/>
        <v>32.75</v>
      </c>
      <c r="V229" s="38">
        <f t="shared" si="86"/>
        <v>34</v>
      </c>
      <c r="W229" s="38">
        <f t="shared" si="87"/>
        <v>35</v>
      </c>
    </row>
    <row r="230" spans="1:23" ht="21" customHeight="1" x14ac:dyDescent="0.2">
      <c r="A230" s="19" t="s">
        <v>521</v>
      </c>
      <c r="B230" s="19" t="s">
        <v>190</v>
      </c>
      <c r="C230" s="32" t="s">
        <v>14</v>
      </c>
      <c r="D230" s="32" t="s">
        <v>384</v>
      </c>
      <c r="E230" s="20" t="s">
        <v>386</v>
      </c>
      <c r="F230" s="20" t="s">
        <v>401</v>
      </c>
      <c r="G230" s="33">
        <v>15</v>
      </c>
      <c r="H230" s="34">
        <f>VLOOKUP($C230,'Raw Cost'!$A$1:$B$484,2,FALSE)/G230</f>
        <v>2.4733333333333336</v>
      </c>
      <c r="I230" s="34">
        <f t="shared" si="77"/>
        <v>0.15458333333333335</v>
      </c>
      <c r="J230" s="35">
        <v>6.25</v>
      </c>
      <c r="K230" s="35">
        <v>0.25</v>
      </c>
      <c r="L230" s="36">
        <f>VLOOKUP($F230,'Packaging Cost'!$A$1:$F$43,6,FALSE)</f>
        <v>2.6</v>
      </c>
      <c r="M230" s="37">
        <f>IF($E230="Snakpak",(($J230*H230)+($K230*'Labor Cost'!$A$2)+L230)+2.25,($J230*H230)+($K230*'Labor Cost'!$A$2)+L230+1)</f>
        <v>26.183333333333337</v>
      </c>
      <c r="N230" s="38">
        <f t="shared" si="78"/>
        <v>32.729166666666671</v>
      </c>
      <c r="O230" s="38">
        <f t="shared" si="79"/>
        <v>34.038333333333341</v>
      </c>
      <c r="P230" s="38">
        <f t="shared" si="80"/>
        <v>35.347500000000011</v>
      </c>
      <c r="Q230" s="38">
        <f t="shared" si="81"/>
        <v>36.656666666666666</v>
      </c>
      <c r="R230" s="38">
        <f t="shared" si="82"/>
        <v>37.965833333333336</v>
      </c>
      <c r="S230" s="38">
        <f t="shared" si="83"/>
        <v>32.75</v>
      </c>
      <c r="T230" s="38">
        <f t="shared" si="84"/>
        <v>34</v>
      </c>
      <c r="U230" s="38">
        <f t="shared" si="85"/>
        <v>35.25</v>
      </c>
      <c r="V230" s="38">
        <f t="shared" si="86"/>
        <v>36.75</v>
      </c>
      <c r="W230" s="38">
        <f t="shared" si="87"/>
        <v>38</v>
      </c>
    </row>
    <row r="231" spans="1:23" ht="21" customHeight="1" x14ac:dyDescent="0.2">
      <c r="A231" s="19" t="s">
        <v>1044</v>
      </c>
      <c r="B231" s="19" t="s">
        <v>190</v>
      </c>
      <c r="C231" s="32" t="s">
        <v>14</v>
      </c>
      <c r="D231" s="32" t="s">
        <v>384</v>
      </c>
      <c r="E231" s="20" t="s">
        <v>386</v>
      </c>
      <c r="F231" s="20" t="s">
        <v>401</v>
      </c>
      <c r="G231" s="33">
        <v>15</v>
      </c>
      <c r="H231" s="34">
        <f>VLOOKUP($C231,'Raw Cost'!$A$1:$B$484,2,FALSE)/G231</f>
        <v>2.4733333333333336</v>
      </c>
      <c r="I231" s="34">
        <f t="shared" si="77"/>
        <v>0.15458333333333335</v>
      </c>
      <c r="J231" s="35">
        <v>12.5</v>
      </c>
      <c r="K231" s="35">
        <v>0.25</v>
      </c>
      <c r="L231" s="36">
        <f>VLOOKUP($F231,'Packaging Cost'!$A$1:$F$43,6,FALSE)</f>
        <v>2.6</v>
      </c>
      <c r="M231" s="37">
        <f>IF($E231="Snakpak",(($J231*H231)+($K231*'Labor Cost'!$A$2)+L231)+2.25,($J231*H231)+($K231*'Labor Cost'!$A$2)+L231+1)</f>
        <v>41.641666666666673</v>
      </c>
      <c r="N231" s="38">
        <f t="shared" si="78"/>
        <v>52.052083333333343</v>
      </c>
      <c r="O231" s="38">
        <f t="shared" si="79"/>
        <v>54.13416666666668</v>
      </c>
      <c r="P231" s="38">
        <f t="shared" si="80"/>
        <v>56.216250000000009</v>
      </c>
      <c r="Q231" s="38">
        <f t="shared" si="81"/>
        <v>58.298333333333339</v>
      </c>
      <c r="R231" s="38">
        <f t="shared" si="82"/>
        <v>60.380416666666676</v>
      </c>
      <c r="S231" s="38">
        <f t="shared" si="83"/>
        <v>52</v>
      </c>
      <c r="T231" s="38">
        <f t="shared" si="84"/>
        <v>54.25</v>
      </c>
      <c r="U231" s="38">
        <f t="shared" si="85"/>
        <v>56.25</v>
      </c>
      <c r="V231" s="38">
        <f t="shared" si="86"/>
        <v>58.25</v>
      </c>
      <c r="W231" s="38">
        <f t="shared" si="87"/>
        <v>60.5</v>
      </c>
    </row>
    <row r="232" spans="1:23" ht="21" customHeight="1" x14ac:dyDescent="0.2">
      <c r="A232" s="19" t="s">
        <v>1256</v>
      </c>
      <c r="B232" s="19" t="s">
        <v>190</v>
      </c>
      <c r="C232" s="32" t="s">
        <v>14</v>
      </c>
      <c r="D232" s="32" t="s">
        <v>385</v>
      </c>
      <c r="E232" s="20" t="s">
        <v>386</v>
      </c>
      <c r="F232" s="20" t="s">
        <v>401</v>
      </c>
      <c r="G232" s="33">
        <v>15</v>
      </c>
      <c r="H232" s="34">
        <f>VLOOKUP($C232,'Raw Cost'!$A$1:$B$484,2,FALSE)/G232</f>
        <v>2.4733333333333336</v>
      </c>
      <c r="I232" s="34">
        <f t="shared" si="77"/>
        <v>0.15458333333333335</v>
      </c>
      <c r="J232" s="35">
        <v>6.25</v>
      </c>
      <c r="K232" s="35">
        <v>0.25</v>
      </c>
      <c r="L232" s="36">
        <f>VLOOKUP($F232,'Packaging Cost'!$A$1:$F$43,6,FALSE)</f>
        <v>2.6</v>
      </c>
      <c r="M232" s="37">
        <f>IF($E232="Snakpak",(($J232*H232)+($K232*'Labor Cost'!$A$2)+L232)+2.25,($J232*H232)+($K232*'Labor Cost'!$A$2)+L232+1)</f>
        <v>26.183333333333337</v>
      </c>
      <c r="N232" s="38">
        <f t="shared" si="78"/>
        <v>48.729166666666671</v>
      </c>
      <c r="O232" s="38">
        <f t="shared" si="79"/>
        <v>50.038333333333341</v>
      </c>
      <c r="P232" s="38">
        <f t="shared" si="80"/>
        <v>51.347500000000011</v>
      </c>
      <c r="Q232" s="38">
        <f t="shared" si="81"/>
        <v>52.656666666666666</v>
      </c>
      <c r="R232" s="38">
        <f t="shared" si="82"/>
        <v>53.965833333333336</v>
      </c>
      <c r="S232" s="38">
        <f t="shared" si="83"/>
        <v>48.75</v>
      </c>
      <c r="T232" s="38">
        <f t="shared" si="84"/>
        <v>50</v>
      </c>
      <c r="U232" s="38">
        <f t="shared" si="85"/>
        <v>51.25</v>
      </c>
      <c r="V232" s="38">
        <f t="shared" si="86"/>
        <v>52.75</v>
      </c>
      <c r="W232" s="38">
        <f t="shared" si="87"/>
        <v>54</v>
      </c>
    </row>
    <row r="233" spans="1:23" ht="21" customHeight="1" x14ac:dyDescent="0.2">
      <c r="A233" s="19" t="s">
        <v>1158</v>
      </c>
      <c r="B233" s="19" t="s">
        <v>190</v>
      </c>
      <c r="C233" s="32" t="s">
        <v>1157</v>
      </c>
      <c r="D233" s="32" t="s">
        <v>384</v>
      </c>
      <c r="E233" s="20" t="s">
        <v>386</v>
      </c>
      <c r="F233" s="20" t="s">
        <v>401</v>
      </c>
      <c r="G233" s="33">
        <v>3</v>
      </c>
      <c r="H233" s="34">
        <f>VLOOKUP($C233,'Raw Cost'!$A$1:$B$484,2,FALSE)/G233</f>
        <v>1.5175661375661376</v>
      </c>
      <c r="I233" s="34">
        <f t="shared" si="77"/>
        <v>9.4847883597883598E-2</v>
      </c>
      <c r="J233" s="35">
        <v>6.25</v>
      </c>
      <c r="K233" s="35">
        <v>0.25</v>
      </c>
      <c r="L233" s="36">
        <f>VLOOKUP($F233,'Packaging Cost'!$A$1:$F$43,6,FALSE)</f>
        <v>2.6</v>
      </c>
      <c r="M233" s="37">
        <f>IF($E233="Snakpak",(($J233*H233)+($K233*'Labor Cost'!$A$2)+L233)+2.25,($J233*H233)+($K233*'Labor Cost'!$A$2)+L233+1)</f>
        <v>20.209788359788359</v>
      </c>
      <c r="N233" s="38">
        <f t="shared" si="78"/>
        <v>25.262235449735449</v>
      </c>
      <c r="O233" s="38">
        <f t="shared" si="79"/>
        <v>26.272724867724868</v>
      </c>
      <c r="P233" s="38">
        <f t="shared" si="80"/>
        <v>27.283214285714287</v>
      </c>
      <c r="Q233" s="38">
        <f t="shared" si="81"/>
        <v>28.293703703703699</v>
      </c>
      <c r="R233" s="38">
        <f t="shared" si="82"/>
        <v>29.304193121693118</v>
      </c>
      <c r="S233" s="38">
        <f t="shared" si="83"/>
        <v>25.25</v>
      </c>
      <c r="T233" s="38">
        <f t="shared" si="84"/>
        <v>26.25</v>
      </c>
      <c r="U233" s="38">
        <f t="shared" si="85"/>
        <v>27.25</v>
      </c>
      <c r="V233" s="38">
        <f t="shared" si="86"/>
        <v>28.25</v>
      </c>
      <c r="W233" s="38">
        <f t="shared" si="87"/>
        <v>29.25</v>
      </c>
    </row>
    <row r="234" spans="1:23" ht="21" customHeight="1" x14ac:dyDescent="0.2">
      <c r="A234" s="19" t="s">
        <v>1257</v>
      </c>
      <c r="B234" s="19" t="s">
        <v>190</v>
      </c>
      <c r="C234" s="32" t="s">
        <v>1157</v>
      </c>
      <c r="D234" s="32" t="s">
        <v>385</v>
      </c>
      <c r="E234" s="20" t="s">
        <v>386</v>
      </c>
      <c r="F234" s="20" t="s">
        <v>401</v>
      </c>
      <c r="G234" s="33">
        <v>3</v>
      </c>
      <c r="H234" s="34">
        <f>VLOOKUP($C234,'Raw Cost'!$A$1:$B$484,2,FALSE)/G234</f>
        <v>1.5175661375661376</v>
      </c>
      <c r="I234" s="34">
        <f t="shared" si="77"/>
        <v>9.4847883597883598E-2</v>
      </c>
      <c r="J234" s="35">
        <v>6.25</v>
      </c>
      <c r="K234" s="35">
        <v>0.25</v>
      </c>
      <c r="L234" s="36">
        <f>VLOOKUP($F234,'Packaging Cost'!$A$1:$F$43,6,FALSE)</f>
        <v>2.6</v>
      </c>
      <c r="M234" s="37">
        <f>IF($E234="Snakpak",(($J234*H234)+($K234*'Labor Cost'!$A$2)+L234)+2.25,($J234*H234)+($K234*'Labor Cost'!$A$2)+L234+1)</f>
        <v>20.209788359788359</v>
      </c>
      <c r="N234" s="38">
        <f t="shared" si="78"/>
        <v>41.262235449735449</v>
      </c>
      <c r="O234" s="38">
        <f t="shared" si="79"/>
        <v>42.272724867724868</v>
      </c>
      <c r="P234" s="38">
        <f t="shared" si="80"/>
        <v>43.283214285714287</v>
      </c>
      <c r="Q234" s="38">
        <f t="shared" si="81"/>
        <v>44.293703703703699</v>
      </c>
      <c r="R234" s="38">
        <f t="shared" si="82"/>
        <v>45.304193121693118</v>
      </c>
      <c r="S234" s="38">
        <f t="shared" si="83"/>
        <v>41.25</v>
      </c>
      <c r="T234" s="38">
        <f t="shared" si="84"/>
        <v>42.25</v>
      </c>
      <c r="U234" s="38">
        <f t="shared" si="85"/>
        <v>43.25</v>
      </c>
      <c r="V234" s="38">
        <f t="shared" si="86"/>
        <v>44.25</v>
      </c>
      <c r="W234" s="38">
        <f t="shared" si="87"/>
        <v>45.25</v>
      </c>
    </row>
    <row r="235" spans="1:23" ht="21" customHeight="1" x14ac:dyDescent="0.2">
      <c r="A235" s="19" t="s">
        <v>1224</v>
      </c>
      <c r="B235" s="19" t="s">
        <v>210</v>
      </c>
      <c r="C235" s="32" t="s">
        <v>1188</v>
      </c>
      <c r="D235" s="32" t="s">
        <v>384</v>
      </c>
      <c r="E235" s="20" t="s">
        <v>386</v>
      </c>
      <c r="F235" s="20" t="s">
        <v>401</v>
      </c>
      <c r="G235" s="33">
        <v>2</v>
      </c>
      <c r="H235" s="34">
        <f>VLOOKUP($C235,'Raw Cost'!$A$1:$B$484,2,FALSE)/G235</f>
        <v>1.4285714285714286</v>
      </c>
      <c r="I235" s="34">
        <f t="shared" ref="I235:I266" si="88">H235/16</f>
        <v>8.9285714285714288E-2</v>
      </c>
      <c r="J235" s="35">
        <v>6.25</v>
      </c>
      <c r="K235" s="35">
        <v>0.27</v>
      </c>
      <c r="L235" s="36">
        <f>VLOOKUP($F235,'Packaging Cost'!$A$1:$F$43,6,FALSE)</f>
        <v>2.6</v>
      </c>
      <c r="M235" s="37">
        <f>IF($E235="Snakpak",(($J235*H235)+($K235*'Labor Cost'!$A$2)+L235)+2.25,($J235*H235)+($K235*'Labor Cost'!$A$2)+L235+1)</f>
        <v>20.123571428571431</v>
      </c>
      <c r="N235" s="38">
        <f t="shared" ref="N235:N266" si="89">IF($D235="No",$M235*1.25,($M235*1.25)+16)</f>
        <v>25.15446428571429</v>
      </c>
      <c r="O235" s="38">
        <f t="shared" ref="O235:O266" si="90">IF($D235="No",$M235*1.3,($M235*1.3)+16)</f>
        <v>26.160642857142861</v>
      </c>
      <c r="P235" s="38">
        <f t="shared" ref="P235:P266" si="91">IF($D235="No",$M235*1.35,($M235*1.35)+16)</f>
        <v>27.166821428571435</v>
      </c>
      <c r="Q235" s="38">
        <f t="shared" ref="Q235:Q266" si="92">IF($D235="No",$M235*1.4,($M235*1.4)+16)</f>
        <v>28.173000000000002</v>
      </c>
      <c r="R235" s="38">
        <f t="shared" ref="R235:R266" si="93">IF($D235="No",$M235*1.45,($M235*1.45)+16)</f>
        <v>29.179178571428572</v>
      </c>
      <c r="S235" s="38">
        <f t="shared" ref="S235:S266" si="94">MROUND(N235,0.25)</f>
        <v>25.25</v>
      </c>
      <c r="T235" s="38">
        <f t="shared" ref="T235:T266" si="95">MROUND(O235,0.25)</f>
        <v>26.25</v>
      </c>
      <c r="U235" s="38">
        <f t="shared" ref="U235:U266" si="96">MROUND(P235,0.25)</f>
        <v>27.25</v>
      </c>
      <c r="V235" s="38">
        <f t="shared" ref="V235:V266" si="97">MROUND(Q235,0.25)</f>
        <v>28.25</v>
      </c>
      <c r="W235" s="38">
        <f t="shared" ref="W235:W266" si="98">MROUND(R235,0.25)</f>
        <v>29.25</v>
      </c>
    </row>
    <row r="236" spans="1:23" ht="21" customHeight="1" x14ac:dyDescent="0.2">
      <c r="A236" s="19" t="s">
        <v>1259</v>
      </c>
      <c r="B236" s="19" t="s">
        <v>210</v>
      </c>
      <c r="C236" s="32" t="s">
        <v>1188</v>
      </c>
      <c r="D236" s="32" t="s">
        <v>385</v>
      </c>
      <c r="E236" s="20" t="s">
        <v>386</v>
      </c>
      <c r="F236" s="20" t="s">
        <v>401</v>
      </c>
      <c r="G236" s="33">
        <v>2</v>
      </c>
      <c r="H236" s="34">
        <f>VLOOKUP($C236,'Raw Cost'!$A$1:$B$484,2,FALSE)/G236</f>
        <v>1.4285714285714286</v>
      </c>
      <c r="I236" s="34">
        <f t="shared" si="88"/>
        <v>8.9285714285714288E-2</v>
      </c>
      <c r="J236" s="35">
        <v>6.25</v>
      </c>
      <c r="K236" s="35">
        <v>0.27</v>
      </c>
      <c r="L236" s="36">
        <f>VLOOKUP($F236,'Packaging Cost'!$A$1:$F$43,6,FALSE)</f>
        <v>2.6</v>
      </c>
      <c r="M236" s="37">
        <f>IF($E236="Snakpak",(($J236*H236)+($K236*'Labor Cost'!$A$2)+L236)+2.25,($J236*H236)+($K236*'Labor Cost'!$A$2)+L236+1)</f>
        <v>20.123571428571431</v>
      </c>
      <c r="N236" s="38">
        <f t="shared" si="89"/>
        <v>41.15446428571429</v>
      </c>
      <c r="O236" s="38">
        <f t="shared" si="90"/>
        <v>42.160642857142861</v>
      </c>
      <c r="P236" s="38">
        <f t="shared" si="91"/>
        <v>43.166821428571438</v>
      </c>
      <c r="Q236" s="38">
        <f t="shared" si="92"/>
        <v>44.173000000000002</v>
      </c>
      <c r="R236" s="38">
        <f t="shared" si="93"/>
        <v>45.179178571428572</v>
      </c>
      <c r="S236" s="38">
        <f t="shared" si="94"/>
        <v>41.25</v>
      </c>
      <c r="T236" s="38">
        <f t="shared" si="95"/>
        <v>42.25</v>
      </c>
      <c r="U236" s="38">
        <f t="shared" si="96"/>
        <v>43.25</v>
      </c>
      <c r="V236" s="38">
        <f t="shared" si="97"/>
        <v>44.25</v>
      </c>
      <c r="W236" s="38">
        <f t="shared" si="98"/>
        <v>45.25</v>
      </c>
    </row>
    <row r="237" spans="1:23" ht="21" customHeight="1" x14ac:dyDescent="0.2">
      <c r="A237" s="19" t="s">
        <v>1225</v>
      </c>
      <c r="B237" s="19" t="s">
        <v>210</v>
      </c>
      <c r="C237" s="32" t="s">
        <v>1190</v>
      </c>
      <c r="D237" s="32" t="s">
        <v>384</v>
      </c>
      <c r="E237" s="20" t="s">
        <v>386</v>
      </c>
      <c r="F237" s="20" t="s">
        <v>401</v>
      </c>
      <c r="G237" s="33">
        <v>2</v>
      </c>
      <c r="H237" s="34">
        <f>VLOOKUP($C237,'Raw Cost'!$A$1:$B$484,2,FALSE)/G237</f>
        <v>1.4563492063492063</v>
      </c>
      <c r="I237" s="34">
        <f t="shared" si="88"/>
        <v>9.1021825396825393E-2</v>
      </c>
      <c r="J237" s="35">
        <v>7.13</v>
      </c>
      <c r="K237" s="35">
        <v>0.27</v>
      </c>
      <c r="L237" s="36">
        <f>VLOOKUP($F237,'Packaging Cost'!$A$1:$F$43,6,FALSE)</f>
        <v>2.6</v>
      </c>
      <c r="M237" s="37">
        <f>IF($E237="Snakpak",(($J237*H237)+($K237*'Labor Cost'!$A$2)+L237)+2.25,($J237*H237)+($K237*'Labor Cost'!$A$2)+L237+1)</f>
        <v>21.578769841269843</v>
      </c>
      <c r="N237" s="38">
        <f t="shared" si="89"/>
        <v>26.973462301587304</v>
      </c>
      <c r="O237" s="38">
        <f t="shared" si="90"/>
        <v>28.052400793650797</v>
      </c>
      <c r="P237" s="38">
        <f t="shared" si="91"/>
        <v>29.13133928571429</v>
      </c>
      <c r="Q237" s="38">
        <f t="shared" si="92"/>
        <v>30.210277777777776</v>
      </c>
      <c r="R237" s="38">
        <f t="shared" si="93"/>
        <v>31.289216269841269</v>
      </c>
      <c r="S237" s="38">
        <f t="shared" si="94"/>
        <v>27</v>
      </c>
      <c r="T237" s="38">
        <f t="shared" si="95"/>
        <v>28</v>
      </c>
      <c r="U237" s="38">
        <f t="shared" si="96"/>
        <v>29.25</v>
      </c>
      <c r="V237" s="38">
        <f t="shared" si="97"/>
        <v>30.25</v>
      </c>
      <c r="W237" s="38">
        <f t="shared" si="98"/>
        <v>31.25</v>
      </c>
    </row>
    <row r="238" spans="1:23" ht="21" customHeight="1" x14ac:dyDescent="0.2">
      <c r="A238" s="19" t="s">
        <v>1260</v>
      </c>
      <c r="B238" s="19" t="s">
        <v>210</v>
      </c>
      <c r="C238" s="32" t="s">
        <v>1190</v>
      </c>
      <c r="D238" s="32" t="s">
        <v>385</v>
      </c>
      <c r="E238" s="20" t="s">
        <v>386</v>
      </c>
      <c r="F238" s="20" t="s">
        <v>401</v>
      </c>
      <c r="G238" s="33">
        <v>2</v>
      </c>
      <c r="H238" s="34">
        <f>VLOOKUP($C238,'Raw Cost'!$A$1:$B$484,2,FALSE)/G238</f>
        <v>1.4563492063492063</v>
      </c>
      <c r="I238" s="34">
        <f t="shared" si="88"/>
        <v>9.1021825396825393E-2</v>
      </c>
      <c r="J238" s="35">
        <v>7.13</v>
      </c>
      <c r="K238" s="35">
        <v>0.27</v>
      </c>
      <c r="L238" s="36">
        <f>VLOOKUP($F238,'Packaging Cost'!$A$1:$F$43,6,FALSE)</f>
        <v>2.6</v>
      </c>
      <c r="M238" s="37">
        <f>IF($E238="Snakpak",(($J238*H238)+($K238*'Labor Cost'!$A$2)+L238)+2.25,($J238*H238)+($K238*'Labor Cost'!$A$2)+L238+1)</f>
        <v>21.578769841269843</v>
      </c>
      <c r="N238" s="38">
        <f t="shared" si="89"/>
        <v>42.973462301587304</v>
      </c>
      <c r="O238" s="38">
        <f t="shared" si="90"/>
        <v>44.052400793650797</v>
      </c>
      <c r="P238" s="38">
        <f t="shared" si="91"/>
        <v>45.13133928571429</v>
      </c>
      <c r="Q238" s="38">
        <f t="shared" si="92"/>
        <v>46.210277777777776</v>
      </c>
      <c r="R238" s="38">
        <f t="shared" si="93"/>
        <v>47.289216269841269</v>
      </c>
      <c r="S238" s="38">
        <f t="shared" si="94"/>
        <v>43</v>
      </c>
      <c r="T238" s="38">
        <f t="shared" si="95"/>
        <v>44</v>
      </c>
      <c r="U238" s="38">
        <f t="shared" si="96"/>
        <v>45.25</v>
      </c>
      <c r="V238" s="38">
        <f t="shared" si="97"/>
        <v>46.25</v>
      </c>
      <c r="W238" s="38">
        <f t="shared" si="98"/>
        <v>47.25</v>
      </c>
    </row>
    <row r="239" spans="1:23" ht="21" customHeight="1" x14ac:dyDescent="0.2">
      <c r="A239" s="19" t="s">
        <v>522</v>
      </c>
      <c r="B239" s="19" t="s">
        <v>210</v>
      </c>
      <c r="C239" s="32" t="s">
        <v>15</v>
      </c>
      <c r="D239" s="32" t="s">
        <v>384</v>
      </c>
      <c r="E239" s="20" t="s">
        <v>386</v>
      </c>
      <c r="F239" s="20" t="s">
        <v>401</v>
      </c>
      <c r="G239" s="33">
        <v>32</v>
      </c>
      <c r="H239" s="34">
        <f>VLOOKUP($C239,'Raw Cost'!$A$1:$B$484,2,FALSE)/G239</f>
        <v>0.9375</v>
      </c>
      <c r="I239" s="34">
        <f t="shared" si="88"/>
        <v>5.859375E-2</v>
      </c>
      <c r="J239" s="35">
        <v>6.25</v>
      </c>
      <c r="K239" s="35">
        <v>0.27</v>
      </c>
      <c r="L239" s="36">
        <f>VLOOKUP($F239,'Packaging Cost'!$A$1:$F$43,6,FALSE)</f>
        <v>2.6</v>
      </c>
      <c r="M239" s="37">
        <f>IF($E239="Snakpak",(($J239*H239)+($K239*'Labor Cost'!$A$2)+L239)+2.25,($J239*H239)+($K239*'Labor Cost'!$A$2)+L239+1)</f>
        <v>17.054375</v>
      </c>
      <c r="N239" s="38">
        <f t="shared" si="89"/>
        <v>21.317968749999999</v>
      </c>
      <c r="O239" s="38">
        <f t="shared" si="90"/>
        <v>22.1706875</v>
      </c>
      <c r="P239" s="38">
        <f t="shared" si="91"/>
        <v>23.023406250000001</v>
      </c>
      <c r="Q239" s="38">
        <f t="shared" si="92"/>
        <v>23.876124999999998</v>
      </c>
      <c r="R239" s="38">
        <f t="shared" si="93"/>
        <v>24.728843749999999</v>
      </c>
      <c r="S239" s="38">
        <f t="shared" si="94"/>
        <v>21.25</v>
      </c>
      <c r="T239" s="38">
        <f t="shared" si="95"/>
        <v>22.25</v>
      </c>
      <c r="U239" s="38">
        <f t="shared" si="96"/>
        <v>23</v>
      </c>
      <c r="V239" s="38">
        <f t="shared" si="97"/>
        <v>24</v>
      </c>
      <c r="W239" s="38">
        <f t="shared" si="98"/>
        <v>24.75</v>
      </c>
    </row>
    <row r="240" spans="1:23" ht="21" customHeight="1" x14ac:dyDescent="0.2">
      <c r="A240" s="19" t="s">
        <v>523</v>
      </c>
      <c r="B240" s="19" t="s">
        <v>211</v>
      </c>
      <c r="C240" s="20" t="s">
        <v>15</v>
      </c>
      <c r="D240" s="20" t="s">
        <v>385</v>
      </c>
      <c r="E240" s="20" t="s">
        <v>386</v>
      </c>
      <c r="F240" s="20" t="s">
        <v>401</v>
      </c>
      <c r="G240" s="33">
        <v>32</v>
      </c>
      <c r="H240" s="34">
        <f>VLOOKUP($C240,'Raw Cost'!$A$1:$B$484,2,FALSE)/G240</f>
        <v>0.9375</v>
      </c>
      <c r="I240" s="34">
        <f t="shared" si="88"/>
        <v>5.859375E-2</v>
      </c>
      <c r="J240" s="35">
        <v>6.25</v>
      </c>
      <c r="K240" s="35">
        <v>0.3</v>
      </c>
      <c r="L240" s="36">
        <f>VLOOKUP($F240,'Packaging Cost'!$A$1:$F$43,6,FALSE)</f>
        <v>2.6</v>
      </c>
      <c r="M240" s="37">
        <f>IF($E240="Snakpak",(($J240*H240)+($K240*'Labor Cost'!$A$2)+L240)+2.25,($J240*H240)+($K240*'Labor Cost'!$A$2)+L240+1)</f>
        <v>17.759374999999999</v>
      </c>
      <c r="N240" s="38">
        <f t="shared" si="89"/>
        <v>38.19921875</v>
      </c>
      <c r="O240" s="38">
        <f t="shared" si="90"/>
        <v>39.087187499999999</v>
      </c>
      <c r="P240" s="38">
        <f t="shared" si="91"/>
        <v>39.975156249999998</v>
      </c>
      <c r="Q240" s="38">
        <f t="shared" si="92"/>
        <v>40.863124999999997</v>
      </c>
      <c r="R240" s="38">
        <f t="shared" si="93"/>
        <v>41.751093749999995</v>
      </c>
      <c r="S240" s="38">
        <f t="shared" si="94"/>
        <v>38.25</v>
      </c>
      <c r="T240" s="38">
        <f t="shared" si="95"/>
        <v>39</v>
      </c>
      <c r="U240" s="38">
        <f t="shared" si="96"/>
        <v>40</v>
      </c>
      <c r="V240" s="38">
        <f t="shared" si="97"/>
        <v>40.75</v>
      </c>
      <c r="W240" s="38">
        <f t="shared" si="98"/>
        <v>41.75</v>
      </c>
    </row>
    <row r="241" spans="1:23" ht="21" customHeight="1" x14ac:dyDescent="0.2">
      <c r="A241" s="19" t="s">
        <v>1045</v>
      </c>
      <c r="B241" s="19" t="s">
        <v>210</v>
      </c>
      <c r="C241" s="32" t="s">
        <v>15</v>
      </c>
      <c r="D241" s="32" t="s">
        <v>384</v>
      </c>
      <c r="E241" s="20" t="s">
        <v>386</v>
      </c>
      <c r="F241" s="20" t="s">
        <v>401</v>
      </c>
      <c r="G241" s="33">
        <v>32</v>
      </c>
      <c r="H241" s="34">
        <f>VLOOKUP($C241,'Raw Cost'!$A$1:$B$484,2,FALSE)/G241</f>
        <v>0.9375</v>
      </c>
      <c r="I241" s="34">
        <f t="shared" si="88"/>
        <v>5.859375E-2</v>
      </c>
      <c r="J241" s="35">
        <v>12.5</v>
      </c>
      <c r="K241" s="35">
        <v>0.27</v>
      </c>
      <c r="L241" s="36">
        <f>VLOOKUP($F241,'Packaging Cost'!$A$1:$F$43,6,FALSE)</f>
        <v>2.6</v>
      </c>
      <c r="M241" s="37">
        <f>IF($E241="Snakpak",(($J241*H241)+($K241*'Labor Cost'!$A$2)+L241)+2.25,($J241*H241)+($K241*'Labor Cost'!$A$2)+L241+1)</f>
        <v>22.91375</v>
      </c>
      <c r="N241" s="38">
        <f t="shared" si="89"/>
        <v>28.642187499999999</v>
      </c>
      <c r="O241" s="38">
        <f t="shared" si="90"/>
        <v>29.787875</v>
      </c>
      <c r="P241" s="38">
        <f t="shared" si="91"/>
        <v>30.933562500000001</v>
      </c>
      <c r="Q241" s="38">
        <f t="shared" si="92"/>
        <v>32.079250000000002</v>
      </c>
      <c r="R241" s="38">
        <f t="shared" si="93"/>
        <v>33.224937500000003</v>
      </c>
      <c r="S241" s="38">
        <f t="shared" si="94"/>
        <v>28.75</v>
      </c>
      <c r="T241" s="38">
        <f t="shared" si="95"/>
        <v>29.75</v>
      </c>
      <c r="U241" s="38">
        <f t="shared" si="96"/>
        <v>31</v>
      </c>
      <c r="V241" s="38">
        <f t="shared" si="97"/>
        <v>32</v>
      </c>
      <c r="W241" s="38">
        <f t="shared" si="98"/>
        <v>33.25</v>
      </c>
    </row>
    <row r="242" spans="1:23" ht="21" customHeight="1" x14ac:dyDescent="0.2">
      <c r="A242" s="19" t="s">
        <v>72</v>
      </c>
      <c r="B242" s="19" t="s">
        <v>220</v>
      </c>
      <c r="C242" s="32" t="s">
        <v>45</v>
      </c>
      <c r="D242" s="32" t="s">
        <v>384</v>
      </c>
      <c r="E242" s="20" t="s">
        <v>386</v>
      </c>
      <c r="F242" s="20" t="s">
        <v>401</v>
      </c>
      <c r="G242" s="33">
        <v>9</v>
      </c>
      <c r="H242" s="34">
        <f>VLOOKUP($C242,'Raw Cost'!$A$1:$B$484,2,FALSE)/G242</f>
        <v>2.5555555555555554</v>
      </c>
      <c r="I242" s="34">
        <f t="shared" si="88"/>
        <v>0.15972222222222221</v>
      </c>
      <c r="J242" s="35">
        <v>6.25</v>
      </c>
      <c r="K242" s="35">
        <v>0.25</v>
      </c>
      <c r="L242" s="36">
        <f>VLOOKUP($F242,'Packaging Cost'!$A$1:$F$43,6,FALSE)</f>
        <v>2.6</v>
      </c>
      <c r="M242" s="37">
        <f>IF($E242="Snakpak",(($J242*H242)+($K242*'Labor Cost'!$A$2)+L242)+2.25,($J242*H242)+($K242*'Labor Cost'!$A$2)+L242+1)</f>
        <v>26.697222222222223</v>
      </c>
      <c r="N242" s="38">
        <f t="shared" si="89"/>
        <v>33.371527777777779</v>
      </c>
      <c r="O242" s="38">
        <f t="shared" si="90"/>
        <v>34.706388888888888</v>
      </c>
      <c r="P242" s="38">
        <f t="shared" si="91"/>
        <v>36.041250000000005</v>
      </c>
      <c r="Q242" s="38">
        <f t="shared" si="92"/>
        <v>37.376111111111108</v>
      </c>
      <c r="R242" s="38">
        <f t="shared" si="93"/>
        <v>38.710972222222225</v>
      </c>
      <c r="S242" s="38">
        <f t="shared" si="94"/>
        <v>33.25</v>
      </c>
      <c r="T242" s="38">
        <f t="shared" si="95"/>
        <v>34.75</v>
      </c>
      <c r="U242" s="38">
        <f t="shared" si="96"/>
        <v>36</v>
      </c>
      <c r="V242" s="38">
        <f t="shared" si="97"/>
        <v>37.5</v>
      </c>
      <c r="W242" s="38">
        <f t="shared" si="98"/>
        <v>38.75</v>
      </c>
    </row>
    <row r="243" spans="1:23" ht="21" customHeight="1" x14ac:dyDescent="0.2">
      <c r="A243" s="21" t="s">
        <v>73</v>
      </c>
      <c r="B243" s="19" t="s">
        <v>221</v>
      </c>
      <c r="C243" s="20" t="s">
        <v>45</v>
      </c>
      <c r="D243" s="20" t="s">
        <v>385</v>
      </c>
      <c r="E243" s="20" t="s">
        <v>386</v>
      </c>
      <c r="F243" s="20" t="s">
        <v>401</v>
      </c>
      <c r="G243" s="33">
        <v>9</v>
      </c>
      <c r="H243" s="34">
        <f>VLOOKUP($C243,'Raw Cost'!$A$1:$B$484,2,FALSE)/G243</f>
        <v>2.5555555555555554</v>
      </c>
      <c r="I243" s="34">
        <f t="shared" si="88"/>
        <v>0.15972222222222221</v>
      </c>
      <c r="J243" s="35">
        <v>6.25</v>
      </c>
      <c r="K243" s="35">
        <v>0.2</v>
      </c>
      <c r="L243" s="36">
        <f>VLOOKUP($F243,'Packaging Cost'!$A$1:$F$43,6,FALSE)</f>
        <v>2.6</v>
      </c>
      <c r="M243" s="37">
        <f>IF($E243="Snakpak",(($J243*H243)+($K243*'Labor Cost'!$A$2)+L243)+2.25,($J243*H243)+($K243*'Labor Cost'!$A$2)+L243+1)</f>
        <v>25.522222222222222</v>
      </c>
      <c r="N243" s="38">
        <f t="shared" si="89"/>
        <v>47.902777777777779</v>
      </c>
      <c r="O243" s="38">
        <f t="shared" si="90"/>
        <v>49.178888888888892</v>
      </c>
      <c r="P243" s="38">
        <f t="shared" si="91"/>
        <v>50.455000000000005</v>
      </c>
      <c r="Q243" s="38">
        <f t="shared" si="92"/>
        <v>51.731111111111112</v>
      </c>
      <c r="R243" s="38">
        <f t="shared" si="93"/>
        <v>53.007222222222218</v>
      </c>
      <c r="S243" s="38">
        <f t="shared" si="94"/>
        <v>48</v>
      </c>
      <c r="T243" s="38">
        <f t="shared" si="95"/>
        <v>49.25</v>
      </c>
      <c r="U243" s="38">
        <f t="shared" si="96"/>
        <v>50.5</v>
      </c>
      <c r="V243" s="38">
        <f t="shared" si="97"/>
        <v>51.75</v>
      </c>
      <c r="W243" s="38">
        <f t="shared" si="98"/>
        <v>53</v>
      </c>
    </row>
    <row r="244" spans="1:23" ht="21" customHeight="1" x14ac:dyDescent="0.2">
      <c r="A244" s="19" t="s">
        <v>1226</v>
      </c>
      <c r="B244" s="19" t="s">
        <v>222</v>
      </c>
      <c r="C244" s="32" t="s">
        <v>1191</v>
      </c>
      <c r="D244" s="32" t="s">
        <v>384</v>
      </c>
      <c r="E244" s="20" t="s">
        <v>386</v>
      </c>
      <c r="F244" s="20" t="s">
        <v>401</v>
      </c>
      <c r="G244" s="33">
        <v>2</v>
      </c>
      <c r="H244" s="34">
        <f>VLOOKUP($C244,'Raw Cost'!$A$1:$B$484,2,FALSE)/G244</f>
        <v>1.55</v>
      </c>
      <c r="I244" s="34">
        <f t="shared" si="88"/>
        <v>9.6875000000000003E-2</v>
      </c>
      <c r="J244" s="35">
        <v>6.25</v>
      </c>
      <c r="K244" s="35">
        <v>0.25</v>
      </c>
      <c r="L244" s="36">
        <f>VLOOKUP($F244,'Packaging Cost'!$A$1:$F$43,6,FALSE)</f>
        <v>2.6</v>
      </c>
      <c r="M244" s="37">
        <f>IF($E244="Snakpak",(($J244*H244)+($K244*'Labor Cost'!$A$2)+L244)+2.25,($J244*H244)+($K244*'Labor Cost'!$A$2)+L244+1)</f>
        <v>20.412500000000001</v>
      </c>
      <c r="N244" s="38">
        <f t="shared" si="89"/>
        <v>25.515625</v>
      </c>
      <c r="O244" s="38">
        <f t="shared" si="90"/>
        <v>26.536250000000003</v>
      </c>
      <c r="P244" s="38">
        <f t="shared" si="91"/>
        <v>27.556875000000005</v>
      </c>
      <c r="Q244" s="38">
        <f t="shared" si="92"/>
        <v>28.577500000000001</v>
      </c>
      <c r="R244" s="38">
        <f t="shared" si="93"/>
        <v>29.598125</v>
      </c>
      <c r="S244" s="38">
        <f t="shared" si="94"/>
        <v>25.5</v>
      </c>
      <c r="T244" s="38">
        <f t="shared" si="95"/>
        <v>26.5</v>
      </c>
      <c r="U244" s="38">
        <f t="shared" si="96"/>
        <v>27.5</v>
      </c>
      <c r="V244" s="38">
        <f t="shared" si="97"/>
        <v>28.5</v>
      </c>
      <c r="W244" s="38">
        <f t="shared" si="98"/>
        <v>29.5</v>
      </c>
    </row>
    <row r="245" spans="1:23" ht="21" customHeight="1" x14ac:dyDescent="0.2">
      <c r="A245" s="19" t="s">
        <v>1261</v>
      </c>
      <c r="B245" s="19" t="s">
        <v>222</v>
      </c>
      <c r="C245" s="32" t="s">
        <v>1191</v>
      </c>
      <c r="D245" s="32" t="s">
        <v>385</v>
      </c>
      <c r="E245" s="20" t="s">
        <v>386</v>
      </c>
      <c r="F245" s="20" t="s">
        <v>401</v>
      </c>
      <c r="G245" s="33">
        <v>2</v>
      </c>
      <c r="H245" s="34">
        <f>VLOOKUP($C245,'Raw Cost'!$A$1:$B$484,2,FALSE)/G245</f>
        <v>1.55</v>
      </c>
      <c r="I245" s="34">
        <f t="shared" si="88"/>
        <v>9.6875000000000003E-2</v>
      </c>
      <c r="J245" s="35">
        <v>6.25</v>
      </c>
      <c r="K245" s="35">
        <v>0.25</v>
      </c>
      <c r="L245" s="36">
        <f>VLOOKUP($F245,'Packaging Cost'!$A$1:$F$43,6,FALSE)</f>
        <v>2.6</v>
      </c>
      <c r="M245" s="37">
        <f>IF($E245="Snakpak",(($J245*H245)+($K245*'Labor Cost'!$A$2)+L245)+2.25,($J245*H245)+($K245*'Labor Cost'!$A$2)+L245+1)</f>
        <v>20.412500000000001</v>
      </c>
      <c r="N245" s="38">
        <f t="shared" si="89"/>
        <v>41.515625</v>
      </c>
      <c r="O245" s="38">
        <f t="shared" si="90"/>
        <v>42.536250000000003</v>
      </c>
      <c r="P245" s="38">
        <f t="shared" si="91"/>
        <v>43.556875000000005</v>
      </c>
      <c r="Q245" s="38">
        <f t="shared" si="92"/>
        <v>44.577500000000001</v>
      </c>
      <c r="R245" s="38">
        <f t="shared" si="93"/>
        <v>45.598124999999996</v>
      </c>
      <c r="S245" s="38">
        <f t="shared" si="94"/>
        <v>41.5</v>
      </c>
      <c r="T245" s="38">
        <f t="shared" si="95"/>
        <v>42.5</v>
      </c>
      <c r="U245" s="38">
        <f t="shared" si="96"/>
        <v>43.5</v>
      </c>
      <c r="V245" s="38">
        <f t="shared" si="97"/>
        <v>44.5</v>
      </c>
      <c r="W245" s="38">
        <f t="shared" si="98"/>
        <v>45.5</v>
      </c>
    </row>
    <row r="246" spans="1:23" ht="21" customHeight="1" x14ac:dyDescent="0.2">
      <c r="A246" s="19" t="s">
        <v>539</v>
      </c>
      <c r="B246" s="19" t="s">
        <v>222</v>
      </c>
      <c r="C246" s="32" t="s">
        <v>443</v>
      </c>
      <c r="D246" s="32" t="s">
        <v>384</v>
      </c>
      <c r="E246" s="20" t="s">
        <v>386</v>
      </c>
      <c r="F246" s="20" t="s">
        <v>401</v>
      </c>
      <c r="G246" s="33">
        <v>40</v>
      </c>
      <c r="H246" s="34">
        <f>VLOOKUP($C246,'Raw Cost'!$A$1:$B$484,2,FALSE)/G246</f>
        <v>1.3</v>
      </c>
      <c r="I246" s="34">
        <f t="shared" si="88"/>
        <v>8.1250000000000003E-2</v>
      </c>
      <c r="J246" s="35">
        <v>6.25</v>
      </c>
      <c r="K246" s="35">
        <v>0.25</v>
      </c>
      <c r="L246" s="36">
        <f>VLOOKUP($F246,'Packaging Cost'!$A$1:$F$43,6,FALSE)</f>
        <v>2.6</v>
      </c>
      <c r="M246" s="37">
        <f>IF($E246="Snakpak",(($J246*H246)+($K246*'Labor Cost'!$A$2)+L246)+2.25,($J246*H246)+($K246*'Labor Cost'!$A$2)+L246+1)</f>
        <v>18.850000000000001</v>
      </c>
      <c r="N246" s="38">
        <f t="shared" si="89"/>
        <v>23.5625</v>
      </c>
      <c r="O246" s="38">
        <f t="shared" si="90"/>
        <v>24.505000000000003</v>
      </c>
      <c r="P246" s="38">
        <f t="shared" si="91"/>
        <v>25.447500000000005</v>
      </c>
      <c r="Q246" s="38">
        <f t="shared" si="92"/>
        <v>26.39</v>
      </c>
      <c r="R246" s="38">
        <f t="shared" si="93"/>
        <v>27.3325</v>
      </c>
      <c r="S246" s="38">
        <f t="shared" si="94"/>
        <v>23.5</v>
      </c>
      <c r="T246" s="38">
        <f t="shared" si="95"/>
        <v>24.5</v>
      </c>
      <c r="U246" s="38">
        <f t="shared" si="96"/>
        <v>25.5</v>
      </c>
      <c r="V246" s="38">
        <f t="shared" si="97"/>
        <v>26.5</v>
      </c>
      <c r="W246" s="38">
        <f t="shared" si="98"/>
        <v>27.25</v>
      </c>
    </row>
    <row r="247" spans="1:23" ht="21" customHeight="1" x14ac:dyDescent="0.2">
      <c r="A247" s="19" t="s">
        <v>538</v>
      </c>
      <c r="B247" s="19" t="s">
        <v>223</v>
      </c>
      <c r="C247" s="20" t="s">
        <v>443</v>
      </c>
      <c r="D247" s="20" t="s">
        <v>385</v>
      </c>
      <c r="E247" s="20" t="s">
        <v>386</v>
      </c>
      <c r="F247" s="20" t="s">
        <v>401</v>
      </c>
      <c r="G247" s="33">
        <v>40</v>
      </c>
      <c r="H247" s="34">
        <f>VLOOKUP($C247,'Raw Cost'!$A$1:$B$484,2,FALSE)/G247</f>
        <v>1.3</v>
      </c>
      <c r="I247" s="34">
        <f t="shared" si="88"/>
        <v>8.1250000000000003E-2</v>
      </c>
      <c r="J247" s="35">
        <v>6.25</v>
      </c>
      <c r="K247" s="35">
        <v>0.25</v>
      </c>
      <c r="L247" s="36">
        <f>VLOOKUP($F247,'Packaging Cost'!$A$1:$F$43,6,FALSE)</f>
        <v>2.6</v>
      </c>
      <c r="M247" s="37">
        <f>IF($E247="Snakpak",(($J247*H247)+($K247*'Labor Cost'!$A$2)+L247)+2.25,($J247*H247)+($K247*'Labor Cost'!$A$2)+L247+1)</f>
        <v>18.850000000000001</v>
      </c>
      <c r="N247" s="38">
        <f t="shared" si="89"/>
        <v>39.5625</v>
      </c>
      <c r="O247" s="38">
        <f t="shared" si="90"/>
        <v>40.505000000000003</v>
      </c>
      <c r="P247" s="38">
        <f t="shared" si="91"/>
        <v>41.447500000000005</v>
      </c>
      <c r="Q247" s="38">
        <f t="shared" si="92"/>
        <v>42.39</v>
      </c>
      <c r="R247" s="38">
        <f t="shared" si="93"/>
        <v>43.332499999999996</v>
      </c>
      <c r="S247" s="38">
        <f t="shared" si="94"/>
        <v>39.5</v>
      </c>
      <c r="T247" s="38">
        <f t="shared" si="95"/>
        <v>40.5</v>
      </c>
      <c r="U247" s="38">
        <f t="shared" si="96"/>
        <v>41.5</v>
      </c>
      <c r="V247" s="38">
        <f t="shared" si="97"/>
        <v>42.5</v>
      </c>
      <c r="W247" s="38">
        <f t="shared" si="98"/>
        <v>43.25</v>
      </c>
    </row>
    <row r="248" spans="1:23" ht="21" customHeight="1" x14ac:dyDescent="0.2">
      <c r="A248" s="19" t="s">
        <v>1047</v>
      </c>
      <c r="B248" s="19" t="s">
        <v>222</v>
      </c>
      <c r="C248" s="32" t="s">
        <v>443</v>
      </c>
      <c r="D248" s="32" t="s">
        <v>384</v>
      </c>
      <c r="E248" s="20" t="s">
        <v>386</v>
      </c>
      <c r="F248" s="20" t="s">
        <v>401</v>
      </c>
      <c r="G248" s="33">
        <v>40</v>
      </c>
      <c r="H248" s="34">
        <f>VLOOKUP($C248,'Raw Cost'!$A$1:$B$484,2,FALSE)/G248</f>
        <v>1.3</v>
      </c>
      <c r="I248" s="34">
        <f t="shared" si="88"/>
        <v>8.1250000000000003E-2</v>
      </c>
      <c r="J248" s="35">
        <v>12.5</v>
      </c>
      <c r="K248" s="35">
        <v>0.27</v>
      </c>
      <c r="L248" s="36">
        <f>VLOOKUP($F248,'Packaging Cost'!$A$1:$F$43,6,FALSE)</f>
        <v>2.6</v>
      </c>
      <c r="M248" s="37">
        <f>IF($E248="Snakpak",(($J248*H248)+($K248*'Labor Cost'!$A$2)+L248)+2.25,($J248*H248)+($K248*'Labor Cost'!$A$2)+L248+1)</f>
        <v>27.445</v>
      </c>
      <c r="N248" s="38">
        <f t="shared" si="89"/>
        <v>34.306249999999999</v>
      </c>
      <c r="O248" s="38">
        <f t="shared" si="90"/>
        <v>35.6785</v>
      </c>
      <c r="P248" s="38">
        <f t="shared" si="91"/>
        <v>37.050750000000001</v>
      </c>
      <c r="Q248" s="38">
        <f t="shared" si="92"/>
        <v>38.422999999999995</v>
      </c>
      <c r="R248" s="38">
        <f t="shared" si="93"/>
        <v>39.795249999999996</v>
      </c>
      <c r="S248" s="38">
        <f t="shared" si="94"/>
        <v>34.25</v>
      </c>
      <c r="T248" s="38">
        <f t="shared" si="95"/>
        <v>35.75</v>
      </c>
      <c r="U248" s="38">
        <f t="shared" si="96"/>
        <v>37</v>
      </c>
      <c r="V248" s="38">
        <f t="shared" si="97"/>
        <v>38.5</v>
      </c>
      <c r="W248" s="38">
        <f t="shared" si="98"/>
        <v>39.75</v>
      </c>
    </row>
    <row r="249" spans="1:23" ht="21" customHeight="1" x14ac:dyDescent="0.2">
      <c r="A249" s="19" t="s">
        <v>1018</v>
      </c>
      <c r="B249" s="19" t="s">
        <v>339</v>
      </c>
      <c r="C249" s="32" t="s">
        <v>1034</v>
      </c>
      <c r="D249" s="20" t="s">
        <v>384</v>
      </c>
      <c r="E249" s="20" t="s">
        <v>386</v>
      </c>
      <c r="F249" s="20" t="s">
        <v>401</v>
      </c>
      <c r="G249" s="33">
        <v>9</v>
      </c>
      <c r="H249" s="34">
        <f>VLOOKUP($C249,'Raw Cost'!$A$1:$B$484,2,FALSE)/G249</f>
        <v>3</v>
      </c>
      <c r="I249" s="34">
        <f t="shared" si="88"/>
        <v>0.1875</v>
      </c>
      <c r="J249" s="35">
        <v>6.25</v>
      </c>
      <c r="K249" s="35">
        <v>0.25</v>
      </c>
      <c r="L249" s="36">
        <f>VLOOKUP($F249,'Packaging Cost'!$A$1:$F$43,6,FALSE)</f>
        <v>2.6</v>
      </c>
      <c r="M249" s="37">
        <f>IF($E249="Snakpak",(($J249*H249)+($K249*'Labor Cost'!$A$2)+L249)+2.25,($J249*H249)+($K249*'Labor Cost'!$A$2)+L249+1)</f>
        <v>29.475000000000001</v>
      </c>
      <c r="N249" s="38">
        <f t="shared" si="89"/>
        <v>36.84375</v>
      </c>
      <c r="O249" s="38">
        <f t="shared" si="90"/>
        <v>38.317500000000003</v>
      </c>
      <c r="P249" s="38">
        <f t="shared" si="91"/>
        <v>39.791250000000005</v>
      </c>
      <c r="Q249" s="38">
        <f t="shared" si="92"/>
        <v>41.265000000000001</v>
      </c>
      <c r="R249" s="38">
        <f t="shared" si="93"/>
        <v>42.738750000000003</v>
      </c>
      <c r="S249" s="38">
        <f t="shared" si="94"/>
        <v>36.75</v>
      </c>
      <c r="T249" s="38">
        <f t="shared" si="95"/>
        <v>38.25</v>
      </c>
      <c r="U249" s="38">
        <f t="shared" si="96"/>
        <v>39.75</v>
      </c>
      <c r="V249" s="38">
        <f t="shared" si="97"/>
        <v>41.25</v>
      </c>
      <c r="W249" s="38">
        <f t="shared" si="98"/>
        <v>42.75</v>
      </c>
    </row>
    <row r="250" spans="1:23" ht="21" customHeight="1" x14ac:dyDescent="0.2">
      <c r="A250" s="19" t="s">
        <v>1277</v>
      </c>
      <c r="B250" s="19" t="s">
        <v>339</v>
      </c>
      <c r="C250" s="32" t="s">
        <v>1034</v>
      </c>
      <c r="D250" s="20" t="s">
        <v>385</v>
      </c>
      <c r="E250" s="20" t="s">
        <v>386</v>
      </c>
      <c r="F250" s="20" t="s">
        <v>401</v>
      </c>
      <c r="G250" s="33">
        <v>9</v>
      </c>
      <c r="H250" s="34">
        <f>VLOOKUP($C250,'Raw Cost'!$A$1:$B$484,2,FALSE)/G250</f>
        <v>3</v>
      </c>
      <c r="I250" s="34">
        <f t="shared" si="88"/>
        <v>0.1875</v>
      </c>
      <c r="J250" s="35">
        <v>6.25</v>
      </c>
      <c r="K250" s="35">
        <v>0.25</v>
      </c>
      <c r="L250" s="36">
        <f>VLOOKUP($F250,'Packaging Cost'!$A$1:$F$43,6,FALSE)</f>
        <v>2.6</v>
      </c>
      <c r="M250" s="37">
        <f>IF($E250="Snakpak",(($J250*H250)+($K250*'Labor Cost'!$A$2)+L250)+2.25,($J250*H250)+($K250*'Labor Cost'!$A$2)+L250+1)</f>
        <v>29.475000000000001</v>
      </c>
      <c r="N250" s="38">
        <f t="shared" si="89"/>
        <v>52.84375</v>
      </c>
      <c r="O250" s="38">
        <f t="shared" si="90"/>
        <v>54.317500000000003</v>
      </c>
      <c r="P250" s="38">
        <f t="shared" si="91"/>
        <v>55.791250000000005</v>
      </c>
      <c r="Q250" s="38">
        <f t="shared" si="92"/>
        <v>57.265000000000001</v>
      </c>
      <c r="R250" s="38">
        <f t="shared" si="93"/>
        <v>58.738750000000003</v>
      </c>
      <c r="S250" s="38">
        <f t="shared" si="94"/>
        <v>52.75</v>
      </c>
      <c r="T250" s="38">
        <f t="shared" si="95"/>
        <v>54.25</v>
      </c>
      <c r="U250" s="38">
        <f t="shared" si="96"/>
        <v>55.75</v>
      </c>
      <c r="V250" s="38">
        <f t="shared" si="97"/>
        <v>57.25</v>
      </c>
      <c r="W250" s="38">
        <f t="shared" si="98"/>
        <v>58.75</v>
      </c>
    </row>
    <row r="251" spans="1:23" ht="21" customHeight="1" x14ac:dyDescent="0.2">
      <c r="A251" s="19" t="s">
        <v>541</v>
      </c>
      <c r="B251" s="19" t="s">
        <v>432</v>
      </c>
      <c r="C251" s="20" t="s">
        <v>431</v>
      </c>
      <c r="D251" s="20" t="s">
        <v>384</v>
      </c>
      <c r="E251" s="20" t="s">
        <v>386</v>
      </c>
      <c r="F251" s="20" t="s">
        <v>401</v>
      </c>
      <c r="G251" s="33">
        <v>5.5</v>
      </c>
      <c r="H251" s="34">
        <f>VLOOKUP($C251,'Raw Cost'!$A$1:$B$484,2,FALSE)/G251</f>
        <v>9.454545454545455</v>
      </c>
      <c r="I251" s="34">
        <f t="shared" si="88"/>
        <v>0.59090909090909094</v>
      </c>
      <c r="J251" s="35">
        <v>6.25</v>
      </c>
      <c r="K251" s="35">
        <v>0.25</v>
      </c>
      <c r="L251" s="36">
        <f>VLOOKUP($F251,'Packaging Cost'!$A$1:$F$43,6,FALSE)</f>
        <v>2.6</v>
      </c>
      <c r="M251" s="37">
        <f>IF($E251="Snakpak",(($J251*H251)+($K251*'Labor Cost'!$A$2)+L251)+2.25,($J251*H251)+($K251*'Labor Cost'!$A$2)+L251+1)</f>
        <v>69.815909090909088</v>
      </c>
      <c r="N251" s="38">
        <f t="shared" si="89"/>
        <v>87.26988636363636</v>
      </c>
      <c r="O251" s="38">
        <f t="shared" si="90"/>
        <v>90.760681818181823</v>
      </c>
      <c r="P251" s="38">
        <f t="shared" si="91"/>
        <v>94.251477272727271</v>
      </c>
      <c r="Q251" s="38">
        <f t="shared" si="92"/>
        <v>97.74227272727272</v>
      </c>
      <c r="R251" s="38">
        <f t="shared" si="93"/>
        <v>101.23306818181817</v>
      </c>
      <c r="S251" s="38">
        <f t="shared" si="94"/>
        <v>87.25</v>
      </c>
      <c r="T251" s="38">
        <f t="shared" si="95"/>
        <v>90.75</v>
      </c>
      <c r="U251" s="38">
        <f t="shared" si="96"/>
        <v>94.25</v>
      </c>
      <c r="V251" s="38">
        <f t="shared" si="97"/>
        <v>97.75</v>
      </c>
      <c r="W251" s="38">
        <f t="shared" si="98"/>
        <v>101.25</v>
      </c>
    </row>
    <row r="252" spans="1:23" ht="21" customHeight="1" x14ac:dyDescent="0.2">
      <c r="A252" s="19" t="s">
        <v>1159</v>
      </c>
      <c r="B252" s="19" t="s">
        <v>249</v>
      </c>
      <c r="C252" s="32" t="s">
        <v>580</v>
      </c>
      <c r="D252" s="32" t="s">
        <v>384</v>
      </c>
      <c r="E252" s="20" t="s">
        <v>386</v>
      </c>
      <c r="F252" s="20" t="s">
        <v>401</v>
      </c>
      <c r="G252" s="33">
        <v>4</v>
      </c>
      <c r="H252" s="34">
        <f>VLOOKUP($C252,'Raw Cost'!$A$1:$B$484,2,FALSE)/G252</f>
        <v>1.7891339869281047</v>
      </c>
      <c r="I252" s="34">
        <f t="shared" si="88"/>
        <v>0.11182087418300654</v>
      </c>
      <c r="J252" s="35">
        <v>8.44</v>
      </c>
      <c r="K252" s="35">
        <v>0.27</v>
      </c>
      <c r="L252" s="36">
        <f>VLOOKUP($F252,'Packaging Cost'!$A$1:$F$43,6,FALSE)</f>
        <v>2.6</v>
      </c>
      <c r="M252" s="37">
        <f>IF($E252="Snakpak",(($J252*H252)+($K252*'Labor Cost'!$A$2)+L252)+2.25,($J252*H252)+($K252*'Labor Cost'!$A$2)+L252+1)</f>
        <v>26.295290849673204</v>
      </c>
      <c r="N252" s="38">
        <f t="shared" si="89"/>
        <v>32.869113562091506</v>
      </c>
      <c r="O252" s="38">
        <f t="shared" si="90"/>
        <v>34.183878104575165</v>
      </c>
      <c r="P252" s="38">
        <f t="shared" si="91"/>
        <v>35.49864264705883</v>
      </c>
      <c r="Q252" s="38">
        <f t="shared" si="92"/>
        <v>36.813407189542481</v>
      </c>
      <c r="R252" s="38">
        <f t="shared" si="93"/>
        <v>38.128171732026146</v>
      </c>
      <c r="S252" s="38">
        <f t="shared" si="94"/>
        <v>32.75</v>
      </c>
      <c r="T252" s="38">
        <f t="shared" si="95"/>
        <v>34.25</v>
      </c>
      <c r="U252" s="38">
        <f t="shared" si="96"/>
        <v>35.5</v>
      </c>
      <c r="V252" s="38">
        <f t="shared" si="97"/>
        <v>36.75</v>
      </c>
      <c r="W252" s="38">
        <f t="shared" si="98"/>
        <v>38.25</v>
      </c>
    </row>
    <row r="253" spans="1:23" ht="21" customHeight="1" x14ac:dyDescent="0.2">
      <c r="A253" s="19" t="s">
        <v>1020</v>
      </c>
      <c r="B253" s="19" t="s">
        <v>266</v>
      </c>
      <c r="C253" s="20" t="s">
        <v>1035</v>
      </c>
      <c r="D253" s="20" t="s">
        <v>384</v>
      </c>
      <c r="E253" s="20" t="s">
        <v>388</v>
      </c>
      <c r="F253" s="20" t="s">
        <v>399</v>
      </c>
      <c r="G253" s="33">
        <v>20</v>
      </c>
      <c r="H253" s="34">
        <f>VLOOKUP($C253,'Raw Cost'!$A$1:$B$484,2,FALSE)/G253</f>
        <v>1.4750000000000001</v>
      </c>
      <c r="I253" s="34">
        <f t="shared" si="88"/>
        <v>9.2187500000000006E-2</v>
      </c>
      <c r="J253" s="35">
        <v>5</v>
      </c>
      <c r="K253" s="35">
        <v>0.25</v>
      </c>
      <c r="L253" s="36">
        <f>VLOOKUP($F253,'Packaging Cost'!$A$1:$F$43,6,FALSE)</f>
        <v>1.7600000000000002</v>
      </c>
      <c r="M253" s="37">
        <f>IF($E253="Snakpak",(($J253*H253)+($K253*'Labor Cost'!$A$2)+L253)+2.25,($J253*H253)+($K253*'Labor Cost'!$A$2)+L253+1)</f>
        <v>16.009999999999998</v>
      </c>
      <c r="N253" s="38">
        <f t="shared" si="89"/>
        <v>20.012499999999996</v>
      </c>
      <c r="O253" s="38">
        <f t="shared" si="90"/>
        <v>20.812999999999999</v>
      </c>
      <c r="P253" s="38">
        <f t="shared" si="91"/>
        <v>21.613499999999998</v>
      </c>
      <c r="Q253" s="38">
        <f t="shared" si="92"/>
        <v>22.413999999999994</v>
      </c>
      <c r="R253" s="38">
        <f t="shared" si="93"/>
        <v>23.214499999999997</v>
      </c>
      <c r="S253" s="38">
        <f t="shared" si="94"/>
        <v>20</v>
      </c>
      <c r="T253" s="38">
        <f t="shared" si="95"/>
        <v>20.75</v>
      </c>
      <c r="U253" s="38">
        <f t="shared" si="96"/>
        <v>21.5</v>
      </c>
      <c r="V253" s="38">
        <f t="shared" si="97"/>
        <v>22.5</v>
      </c>
      <c r="W253" s="38">
        <f t="shared" si="98"/>
        <v>23.25</v>
      </c>
    </row>
    <row r="254" spans="1:23" ht="21" customHeight="1" x14ac:dyDescent="0.2">
      <c r="A254" s="19" t="s">
        <v>544</v>
      </c>
      <c r="B254" s="19" t="s">
        <v>245</v>
      </c>
      <c r="C254" s="32" t="s">
        <v>44</v>
      </c>
      <c r="D254" s="32" t="s">
        <v>384</v>
      </c>
      <c r="E254" s="20" t="s">
        <v>386</v>
      </c>
      <c r="F254" s="20" t="s">
        <v>401</v>
      </c>
      <c r="G254" s="33">
        <v>8.5</v>
      </c>
      <c r="H254" s="34">
        <f>VLOOKUP($C254,'Raw Cost'!$A$1:$B$484,2,FALSE)/G254</f>
        <v>1.8823529411764706</v>
      </c>
      <c r="I254" s="34">
        <f t="shared" si="88"/>
        <v>0.11764705882352941</v>
      </c>
      <c r="J254" s="35">
        <v>6.25</v>
      </c>
      <c r="K254" s="35">
        <v>0.25</v>
      </c>
      <c r="L254" s="36">
        <f>VLOOKUP($F254,'Packaging Cost'!$A$1:$F$43,6,FALSE)</f>
        <v>2.6</v>
      </c>
      <c r="M254" s="37">
        <f>IF($E254="Snakpak",(($J254*H254)+($K254*'Labor Cost'!$A$2)+L254)+2.25,($J254*H254)+($K254*'Labor Cost'!$A$2)+L254+1)</f>
        <v>22.489705882352943</v>
      </c>
      <c r="N254" s="38">
        <f t="shared" si="89"/>
        <v>28.112132352941181</v>
      </c>
      <c r="O254" s="38">
        <f t="shared" si="90"/>
        <v>29.236617647058829</v>
      </c>
      <c r="P254" s="38">
        <f t="shared" si="91"/>
        <v>30.361102941176476</v>
      </c>
      <c r="Q254" s="38">
        <f t="shared" si="92"/>
        <v>31.48558823529412</v>
      </c>
      <c r="R254" s="38">
        <f t="shared" si="93"/>
        <v>32.610073529411764</v>
      </c>
      <c r="S254" s="38">
        <f t="shared" si="94"/>
        <v>28</v>
      </c>
      <c r="T254" s="38">
        <f t="shared" si="95"/>
        <v>29.25</v>
      </c>
      <c r="U254" s="38">
        <f t="shared" si="96"/>
        <v>30.25</v>
      </c>
      <c r="V254" s="38">
        <f t="shared" si="97"/>
        <v>31.5</v>
      </c>
      <c r="W254" s="38">
        <f t="shared" si="98"/>
        <v>32.5</v>
      </c>
    </row>
    <row r="255" spans="1:23" ht="21" customHeight="1" x14ac:dyDescent="0.2">
      <c r="A255" s="19" t="s">
        <v>543</v>
      </c>
      <c r="B255" s="19" t="s">
        <v>246</v>
      </c>
      <c r="C255" s="20" t="s">
        <v>44</v>
      </c>
      <c r="D255" s="20" t="s">
        <v>385</v>
      </c>
      <c r="E255" s="20" t="s">
        <v>386</v>
      </c>
      <c r="F255" s="20" t="s">
        <v>401</v>
      </c>
      <c r="G255" s="33">
        <v>8.5</v>
      </c>
      <c r="H255" s="34">
        <f>VLOOKUP($C255,'Raw Cost'!$A$1:$B$484,2,FALSE)/G255</f>
        <v>1.8823529411764706</v>
      </c>
      <c r="I255" s="34">
        <f t="shared" si="88"/>
        <v>0.11764705882352941</v>
      </c>
      <c r="J255" s="35">
        <v>6.25</v>
      </c>
      <c r="K255" s="35">
        <v>0.25</v>
      </c>
      <c r="L255" s="36">
        <f>VLOOKUP($F255,'Packaging Cost'!$A$1:$F$43,6,FALSE)</f>
        <v>2.6</v>
      </c>
      <c r="M255" s="37">
        <f>IF($E255="Snakpak",(($J255*H255)+($K255*'Labor Cost'!$A$2)+L255)+2.25,($J255*H255)+($K255*'Labor Cost'!$A$2)+L255+1)</f>
        <v>22.489705882352943</v>
      </c>
      <c r="N255" s="38">
        <f t="shared" si="89"/>
        <v>44.112132352941181</v>
      </c>
      <c r="O255" s="38">
        <f t="shared" si="90"/>
        <v>45.236617647058829</v>
      </c>
      <c r="P255" s="38">
        <f t="shared" si="91"/>
        <v>46.361102941176476</v>
      </c>
      <c r="Q255" s="38">
        <f t="shared" si="92"/>
        <v>47.485588235294117</v>
      </c>
      <c r="R255" s="38">
        <f t="shared" si="93"/>
        <v>48.610073529411764</v>
      </c>
      <c r="S255" s="38">
        <f t="shared" si="94"/>
        <v>44</v>
      </c>
      <c r="T255" s="38">
        <f t="shared" si="95"/>
        <v>45.25</v>
      </c>
      <c r="U255" s="38">
        <f t="shared" si="96"/>
        <v>46.25</v>
      </c>
      <c r="V255" s="38">
        <f t="shared" si="97"/>
        <v>47.5</v>
      </c>
      <c r="W255" s="38">
        <f t="shared" si="98"/>
        <v>48.5</v>
      </c>
    </row>
    <row r="256" spans="1:23" ht="21" customHeight="1" x14ac:dyDescent="0.2">
      <c r="A256" s="19" t="s">
        <v>1227</v>
      </c>
      <c r="B256" s="19" t="s">
        <v>242</v>
      </c>
      <c r="C256" s="32" t="s">
        <v>1193</v>
      </c>
      <c r="D256" s="32" t="s">
        <v>384</v>
      </c>
      <c r="E256" s="20" t="s">
        <v>386</v>
      </c>
      <c r="F256" s="20" t="s">
        <v>401</v>
      </c>
      <c r="G256" s="33">
        <v>2</v>
      </c>
      <c r="H256" s="34">
        <f>VLOOKUP($C256,'Raw Cost'!$A$1:$B$484,2,FALSE)/G256</f>
        <v>2.0277777777777777</v>
      </c>
      <c r="I256" s="34">
        <f t="shared" si="88"/>
        <v>0.1267361111111111</v>
      </c>
      <c r="J256" s="35">
        <v>7.13</v>
      </c>
      <c r="K256" s="35">
        <v>0.25</v>
      </c>
      <c r="L256" s="36">
        <f>VLOOKUP($F256,'Packaging Cost'!$A$1:$F$43,6,FALSE)</f>
        <v>2.6</v>
      </c>
      <c r="M256" s="37">
        <f>IF($E256="Snakpak",(($J256*H256)+($K256*'Labor Cost'!$A$2)+L256)+2.25,($J256*H256)+($K256*'Labor Cost'!$A$2)+L256+1)</f>
        <v>25.183055555555555</v>
      </c>
      <c r="N256" s="38">
        <f t="shared" si="89"/>
        <v>31.478819444444444</v>
      </c>
      <c r="O256" s="38">
        <f t="shared" si="90"/>
        <v>32.737972222222226</v>
      </c>
      <c r="P256" s="38">
        <f t="shared" si="91"/>
        <v>33.997125000000004</v>
      </c>
      <c r="Q256" s="38">
        <f t="shared" si="92"/>
        <v>35.256277777777775</v>
      </c>
      <c r="R256" s="38">
        <f t="shared" si="93"/>
        <v>36.515430555555554</v>
      </c>
      <c r="S256" s="38">
        <f t="shared" si="94"/>
        <v>31.5</v>
      </c>
      <c r="T256" s="38">
        <f t="shared" si="95"/>
        <v>32.75</v>
      </c>
      <c r="U256" s="38">
        <f t="shared" si="96"/>
        <v>34</v>
      </c>
      <c r="V256" s="38">
        <f t="shared" si="97"/>
        <v>35.25</v>
      </c>
      <c r="W256" s="38">
        <f t="shared" si="98"/>
        <v>36.5</v>
      </c>
    </row>
    <row r="257" spans="1:23" ht="21" customHeight="1" x14ac:dyDescent="0.2">
      <c r="A257" s="19" t="s">
        <v>1262</v>
      </c>
      <c r="B257" s="19" t="s">
        <v>242</v>
      </c>
      <c r="C257" s="32" t="s">
        <v>1193</v>
      </c>
      <c r="D257" s="32" t="s">
        <v>385</v>
      </c>
      <c r="E257" s="20" t="s">
        <v>386</v>
      </c>
      <c r="F257" s="20" t="s">
        <v>401</v>
      </c>
      <c r="G257" s="33">
        <v>2</v>
      </c>
      <c r="H257" s="34">
        <f>VLOOKUP($C257,'Raw Cost'!$A$1:$B$484,2,FALSE)/G257</f>
        <v>2.0277777777777777</v>
      </c>
      <c r="I257" s="34">
        <f t="shared" si="88"/>
        <v>0.1267361111111111</v>
      </c>
      <c r="J257" s="35">
        <v>7.13</v>
      </c>
      <c r="K257" s="35">
        <v>0.25</v>
      </c>
      <c r="L257" s="36">
        <f>VLOOKUP($F257,'Packaging Cost'!$A$1:$F$43,6,FALSE)</f>
        <v>2.6</v>
      </c>
      <c r="M257" s="37">
        <f>IF($E257="Snakpak",(($J257*H257)+($K257*'Labor Cost'!$A$2)+L257)+2.25,($J257*H257)+($K257*'Labor Cost'!$A$2)+L257+1)</f>
        <v>25.183055555555555</v>
      </c>
      <c r="N257" s="38">
        <f t="shared" si="89"/>
        <v>47.47881944444444</v>
      </c>
      <c r="O257" s="38">
        <f t="shared" si="90"/>
        <v>48.737972222222226</v>
      </c>
      <c r="P257" s="38">
        <f t="shared" si="91"/>
        <v>49.997125000000004</v>
      </c>
      <c r="Q257" s="38">
        <f t="shared" si="92"/>
        <v>51.256277777777775</v>
      </c>
      <c r="R257" s="38">
        <f t="shared" si="93"/>
        <v>52.515430555555554</v>
      </c>
      <c r="S257" s="38">
        <f t="shared" si="94"/>
        <v>47.5</v>
      </c>
      <c r="T257" s="38">
        <f t="shared" si="95"/>
        <v>48.75</v>
      </c>
      <c r="U257" s="38">
        <f t="shared" si="96"/>
        <v>50</v>
      </c>
      <c r="V257" s="38">
        <f t="shared" si="97"/>
        <v>51.25</v>
      </c>
      <c r="W257" s="38">
        <f t="shared" si="98"/>
        <v>52.5</v>
      </c>
    </row>
    <row r="258" spans="1:23" ht="21" customHeight="1" x14ac:dyDescent="0.2">
      <c r="A258" s="19" t="s">
        <v>1228</v>
      </c>
      <c r="B258" s="19" t="s">
        <v>242</v>
      </c>
      <c r="C258" s="32" t="s">
        <v>1192</v>
      </c>
      <c r="D258" s="32" t="s">
        <v>384</v>
      </c>
      <c r="E258" s="20" t="s">
        <v>386</v>
      </c>
      <c r="F258" s="20" t="s">
        <v>401</v>
      </c>
      <c r="G258" s="33">
        <v>2</v>
      </c>
      <c r="H258" s="34">
        <f>VLOOKUP($C258,'Raw Cost'!$A$1:$B$484,2,FALSE)/G258</f>
        <v>1.9277777777777776</v>
      </c>
      <c r="I258" s="34">
        <f t="shared" si="88"/>
        <v>0.1204861111111111</v>
      </c>
      <c r="J258" s="35">
        <v>9.3800000000000008</v>
      </c>
      <c r="K258" s="35">
        <v>0.25</v>
      </c>
      <c r="L258" s="36">
        <f>VLOOKUP($F258,'Packaging Cost'!$A$1:$F$43,6,FALSE)</f>
        <v>2.6</v>
      </c>
      <c r="M258" s="37">
        <f>IF($E258="Snakpak",(($J258*H258)+($K258*'Labor Cost'!$A$2)+L258)+2.25,($J258*H258)+($K258*'Labor Cost'!$A$2)+L258+1)</f>
        <v>28.807555555555556</v>
      </c>
      <c r="N258" s="38">
        <f t="shared" si="89"/>
        <v>36.009444444444448</v>
      </c>
      <c r="O258" s="38">
        <f t="shared" si="90"/>
        <v>37.449822222222224</v>
      </c>
      <c r="P258" s="38">
        <f t="shared" si="91"/>
        <v>38.8902</v>
      </c>
      <c r="Q258" s="38">
        <f t="shared" si="92"/>
        <v>40.330577777777776</v>
      </c>
      <c r="R258" s="38">
        <f t="shared" si="93"/>
        <v>41.770955555555553</v>
      </c>
      <c r="S258" s="38">
        <f t="shared" si="94"/>
        <v>36</v>
      </c>
      <c r="T258" s="38">
        <f t="shared" si="95"/>
        <v>37.5</v>
      </c>
      <c r="U258" s="38">
        <f t="shared" si="96"/>
        <v>39</v>
      </c>
      <c r="V258" s="38">
        <f t="shared" si="97"/>
        <v>40.25</v>
      </c>
      <c r="W258" s="38">
        <f t="shared" si="98"/>
        <v>41.75</v>
      </c>
    </row>
    <row r="259" spans="1:23" ht="21" customHeight="1" x14ac:dyDescent="0.2">
      <c r="A259" s="19" t="s">
        <v>567</v>
      </c>
      <c r="B259" s="19" t="s">
        <v>242</v>
      </c>
      <c r="C259" s="32" t="s">
        <v>568</v>
      </c>
      <c r="D259" s="32" t="s">
        <v>384</v>
      </c>
      <c r="E259" s="20" t="s">
        <v>386</v>
      </c>
      <c r="F259" s="20" t="s">
        <v>401</v>
      </c>
      <c r="G259" s="33">
        <v>15</v>
      </c>
      <c r="H259" s="34">
        <f>VLOOKUP($C259,'Raw Cost'!$A$1:$B$484,2,FALSE)/G259</f>
        <v>6.1333333333333337</v>
      </c>
      <c r="I259" s="34">
        <f t="shared" si="88"/>
        <v>0.38333333333333336</v>
      </c>
      <c r="J259" s="35">
        <v>9.3800000000000008</v>
      </c>
      <c r="K259" s="35">
        <v>0.25</v>
      </c>
      <c r="L259" s="36">
        <f>VLOOKUP($F259,'Packaging Cost'!$A$1:$F$43,6,FALSE)</f>
        <v>2.6</v>
      </c>
      <c r="M259" s="37">
        <f>IF($E259="Snakpak",(($J259*H259)+($K259*'Labor Cost'!$A$2)+L259)+2.25,($J259*H259)+($K259*'Labor Cost'!$A$2)+L259+1)</f>
        <v>68.25566666666667</v>
      </c>
      <c r="N259" s="38">
        <f t="shared" si="89"/>
        <v>85.319583333333341</v>
      </c>
      <c r="O259" s="38">
        <f t="shared" si="90"/>
        <v>88.732366666666678</v>
      </c>
      <c r="P259" s="38">
        <f t="shared" si="91"/>
        <v>92.145150000000015</v>
      </c>
      <c r="Q259" s="38">
        <f t="shared" si="92"/>
        <v>95.557933333333338</v>
      </c>
      <c r="R259" s="38">
        <f t="shared" si="93"/>
        <v>98.970716666666675</v>
      </c>
      <c r="S259" s="38">
        <f t="shared" si="94"/>
        <v>85.25</v>
      </c>
      <c r="T259" s="38">
        <f t="shared" si="95"/>
        <v>88.75</v>
      </c>
      <c r="U259" s="38">
        <f t="shared" si="96"/>
        <v>92.25</v>
      </c>
      <c r="V259" s="38">
        <f t="shared" si="97"/>
        <v>95.5</v>
      </c>
      <c r="W259" s="38">
        <f t="shared" si="98"/>
        <v>99</v>
      </c>
    </row>
    <row r="260" spans="1:23" ht="21" customHeight="1" x14ac:dyDescent="0.2">
      <c r="A260" s="19" t="s">
        <v>514</v>
      </c>
      <c r="B260" s="19" t="s">
        <v>241</v>
      </c>
      <c r="C260" s="32" t="s">
        <v>18</v>
      </c>
      <c r="D260" s="32" t="s">
        <v>384</v>
      </c>
      <c r="E260" s="20" t="s">
        <v>386</v>
      </c>
      <c r="F260" s="20" t="s">
        <v>402</v>
      </c>
      <c r="G260" s="33">
        <v>18</v>
      </c>
      <c r="H260" s="34">
        <f>VLOOKUP($C260,'Raw Cost'!$A$1:$B$484,2,FALSE)/G260</f>
        <v>2.0555555555555554</v>
      </c>
      <c r="I260" s="34">
        <f t="shared" si="88"/>
        <v>0.12847222222222221</v>
      </c>
      <c r="J260" s="35">
        <v>18.75</v>
      </c>
      <c r="K260" s="35">
        <v>0.3</v>
      </c>
      <c r="L260" s="36">
        <f>VLOOKUP($F260,'Packaging Cost'!$A$1:$F$43,6,FALSE)</f>
        <v>4.3499999999999996</v>
      </c>
      <c r="M260" s="37">
        <f>IF($E260="Snakpak",(($J260*H260)+($K260*'Labor Cost'!$A$2)+L260)+2.25,($J260*H260)+($K260*'Labor Cost'!$A$2)+L260+1)</f>
        <v>52.191666666666663</v>
      </c>
      <c r="N260" s="38">
        <f t="shared" si="89"/>
        <v>65.239583333333329</v>
      </c>
      <c r="O260" s="38">
        <f t="shared" si="90"/>
        <v>67.849166666666662</v>
      </c>
      <c r="P260" s="38">
        <f t="shared" si="91"/>
        <v>70.458749999999995</v>
      </c>
      <c r="Q260" s="38">
        <f t="shared" si="92"/>
        <v>73.068333333333328</v>
      </c>
      <c r="R260" s="38">
        <f t="shared" si="93"/>
        <v>75.677916666666661</v>
      </c>
      <c r="S260" s="38">
        <f t="shared" si="94"/>
        <v>65.25</v>
      </c>
      <c r="T260" s="38">
        <f t="shared" si="95"/>
        <v>67.75</v>
      </c>
      <c r="U260" s="38">
        <f t="shared" si="96"/>
        <v>70.5</v>
      </c>
      <c r="V260" s="38">
        <f t="shared" si="97"/>
        <v>73</v>
      </c>
      <c r="W260" s="38">
        <f t="shared" si="98"/>
        <v>75.75</v>
      </c>
    </row>
    <row r="261" spans="1:23" ht="21" customHeight="1" x14ac:dyDescent="0.2">
      <c r="A261" s="19" t="s">
        <v>513</v>
      </c>
      <c r="B261" s="19" t="s">
        <v>242</v>
      </c>
      <c r="C261" s="32" t="s">
        <v>18</v>
      </c>
      <c r="D261" s="32" t="s">
        <v>384</v>
      </c>
      <c r="E261" s="20" t="s">
        <v>386</v>
      </c>
      <c r="F261" s="20" t="s">
        <v>401</v>
      </c>
      <c r="G261" s="33">
        <v>18</v>
      </c>
      <c r="H261" s="34">
        <f>VLOOKUP($C261,'Raw Cost'!$A$1:$B$484,2,FALSE)/G261</f>
        <v>2.0555555555555554</v>
      </c>
      <c r="I261" s="34">
        <f t="shared" si="88"/>
        <v>0.12847222222222221</v>
      </c>
      <c r="J261" s="35">
        <v>9.3800000000000008</v>
      </c>
      <c r="K261" s="35">
        <v>0.25</v>
      </c>
      <c r="L261" s="36">
        <f>VLOOKUP($F261,'Packaging Cost'!$A$1:$F$43,6,FALSE)</f>
        <v>2.6</v>
      </c>
      <c r="M261" s="37">
        <f>IF($E261="Snakpak",(($J261*H261)+($K261*'Labor Cost'!$A$2)+L261)+2.25,($J261*H261)+($K261*'Labor Cost'!$A$2)+L261+1)</f>
        <v>30.006111111111114</v>
      </c>
      <c r="N261" s="38">
        <f t="shared" si="89"/>
        <v>37.507638888888891</v>
      </c>
      <c r="O261" s="38">
        <f t="shared" si="90"/>
        <v>39.007944444444448</v>
      </c>
      <c r="P261" s="38">
        <f t="shared" si="91"/>
        <v>40.508250000000004</v>
      </c>
      <c r="Q261" s="38">
        <f t="shared" si="92"/>
        <v>42.00855555555556</v>
      </c>
      <c r="R261" s="38">
        <f t="shared" si="93"/>
        <v>43.508861111111116</v>
      </c>
      <c r="S261" s="38">
        <f t="shared" si="94"/>
        <v>37.5</v>
      </c>
      <c r="T261" s="38">
        <f t="shared" si="95"/>
        <v>39</v>
      </c>
      <c r="U261" s="38">
        <f t="shared" si="96"/>
        <v>40.5</v>
      </c>
      <c r="V261" s="38">
        <f t="shared" si="97"/>
        <v>42</v>
      </c>
      <c r="W261" s="38">
        <f t="shared" si="98"/>
        <v>43.5</v>
      </c>
    </row>
    <row r="262" spans="1:23" ht="21" customHeight="1" x14ac:dyDescent="0.2">
      <c r="A262" s="19" t="s">
        <v>1019</v>
      </c>
      <c r="B262" s="19" t="s">
        <v>243</v>
      </c>
      <c r="C262" s="32" t="s">
        <v>19</v>
      </c>
      <c r="D262" s="32" t="s">
        <v>384</v>
      </c>
      <c r="E262" s="20" t="s">
        <v>388</v>
      </c>
      <c r="F262" s="20" t="s">
        <v>399</v>
      </c>
      <c r="G262" s="33">
        <v>18</v>
      </c>
      <c r="H262" s="34">
        <f>VLOOKUP($C262,'Raw Cost'!$A$1:$B$484,2,FALSE)/G262</f>
        <v>2.5</v>
      </c>
      <c r="I262" s="34">
        <f t="shared" si="88"/>
        <v>0.15625</v>
      </c>
      <c r="J262" s="35">
        <v>5</v>
      </c>
      <c r="K262" s="35">
        <v>0.25</v>
      </c>
      <c r="L262" s="36">
        <f>VLOOKUP($F262,'Packaging Cost'!$A$1:$F$43,6,FALSE)</f>
        <v>1.7600000000000002</v>
      </c>
      <c r="M262" s="37">
        <f>IF($E262="Snakpak",(($J262*H262)+($K262*'Labor Cost'!$A$2)+L262)+2.25,($J262*H262)+($K262*'Labor Cost'!$A$2)+L262+1)</f>
        <v>21.135000000000002</v>
      </c>
      <c r="N262" s="38">
        <f t="shared" si="89"/>
        <v>26.418750000000003</v>
      </c>
      <c r="O262" s="38">
        <f t="shared" si="90"/>
        <v>27.475500000000004</v>
      </c>
      <c r="P262" s="38">
        <f t="shared" si="91"/>
        <v>28.532250000000005</v>
      </c>
      <c r="Q262" s="38">
        <f t="shared" si="92"/>
        <v>29.588999999999999</v>
      </c>
      <c r="R262" s="38">
        <f t="shared" si="93"/>
        <v>30.64575</v>
      </c>
      <c r="S262" s="38">
        <f t="shared" si="94"/>
        <v>26.5</v>
      </c>
      <c r="T262" s="38">
        <f t="shared" si="95"/>
        <v>27.5</v>
      </c>
      <c r="U262" s="38">
        <f t="shared" si="96"/>
        <v>28.5</v>
      </c>
      <c r="V262" s="38">
        <f t="shared" si="97"/>
        <v>29.5</v>
      </c>
      <c r="W262" s="38">
        <f t="shared" si="98"/>
        <v>30.75</v>
      </c>
    </row>
    <row r="263" spans="1:23" ht="21" customHeight="1" x14ac:dyDescent="0.2">
      <c r="A263" s="19" t="s">
        <v>546</v>
      </c>
      <c r="B263" s="19" t="s">
        <v>439</v>
      </c>
      <c r="C263" s="32" t="s">
        <v>442</v>
      </c>
      <c r="D263" s="32" t="s">
        <v>384</v>
      </c>
      <c r="E263" s="20" t="s">
        <v>386</v>
      </c>
      <c r="F263" s="20" t="s">
        <v>401</v>
      </c>
      <c r="G263" s="33">
        <v>9.5</v>
      </c>
      <c r="H263" s="34">
        <f>VLOOKUP($C263,'Raw Cost'!$A$1:$B$484,2,FALSE)/G263</f>
        <v>4.4736842105263159</v>
      </c>
      <c r="I263" s="34">
        <f t="shared" si="88"/>
        <v>0.27960526315789475</v>
      </c>
      <c r="J263" s="35">
        <v>6.25</v>
      </c>
      <c r="K263" s="35">
        <v>0.25</v>
      </c>
      <c r="L263" s="36">
        <f>VLOOKUP($F263,'Packaging Cost'!$A$1:$F$43,6,FALSE)</f>
        <v>2.6</v>
      </c>
      <c r="M263" s="37">
        <f>IF($E263="Snakpak",(($J263*H263)+($K263*'Labor Cost'!$A$2)+L263)+2.25,($J263*H263)+($K263*'Labor Cost'!$A$2)+L263+1)</f>
        <v>38.685526315789481</v>
      </c>
      <c r="N263" s="38">
        <f t="shared" si="89"/>
        <v>48.35690789473685</v>
      </c>
      <c r="O263" s="38">
        <f t="shared" si="90"/>
        <v>50.291184210526325</v>
      </c>
      <c r="P263" s="38">
        <f t="shared" si="91"/>
        <v>52.2254605263158</v>
      </c>
      <c r="Q263" s="38">
        <f t="shared" si="92"/>
        <v>54.159736842105268</v>
      </c>
      <c r="R263" s="38">
        <f t="shared" si="93"/>
        <v>56.094013157894743</v>
      </c>
      <c r="S263" s="38">
        <f t="shared" si="94"/>
        <v>48.25</v>
      </c>
      <c r="T263" s="38">
        <f t="shared" si="95"/>
        <v>50.25</v>
      </c>
      <c r="U263" s="38">
        <f t="shared" si="96"/>
        <v>52.25</v>
      </c>
      <c r="V263" s="38">
        <f t="shared" si="97"/>
        <v>54.25</v>
      </c>
      <c r="W263" s="38">
        <f t="shared" si="98"/>
        <v>56</v>
      </c>
    </row>
    <row r="264" spans="1:23" ht="21" customHeight="1" x14ac:dyDescent="0.2">
      <c r="A264" s="19" t="s">
        <v>1263</v>
      </c>
      <c r="B264" s="19" t="s">
        <v>439</v>
      </c>
      <c r="C264" s="32" t="s">
        <v>442</v>
      </c>
      <c r="D264" s="32" t="s">
        <v>385</v>
      </c>
      <c r="E264" s="20" t="s">
        <v>386</v>
      </c>
      <c r="F264" s="20" t="s">
        <v>401</v>
      </c>
      <c r="G264" s="33">
        <v>9.5</v>
      </c>
      <c r="H264" s="34">
        <f>VLOOKUP($C264,'Raw Cost'!$A$1:$B$484,2,FALSE)/G264</f>
        <v>4.4736842105263159</v>
      </c>
      <c r="I264" s="34">
        <f t="shared" si="88"/>
        <v>0.27960526315789475</v>
      </c>
      <c r="J264" s="35">
        <v>6.25</v>
      </c>
      <c r="K264" s="35">
        <v>0.25</v>
      </c>
      <c r="L264" s="36">
        <f>VLOOKUP($F264,'Packaging Cost'!$A$1:$F$43,6,FALSE)</f>
        <v>2.6</v>
      </c>
      <c r="M264" s="37">
        <f>IF($E264="Snakpak",(($J264*H264)+($K264*'Labor Cost'!$A$2)+L264)+2.25,($J264*H264)+($K264*'Labor Cost'!$A$2)+L264+1)</f>
        <v>38.685526315789481</v>
      </c>
      <c r="N264" s="38">
        <f t="shared" si="89"/>
        <v>64.35690789473685</v>
      </c>
      <c r="O264" s="38">
        <f t="shared" si="90"/>
        <v>66.291184210526325</v>
      </c>
      <c r="P264" s="38">
        <f t="shared" si="91"/>
        <v>68.2254605263158</v>
      </c>
      <c r="Q264" s="38">
        <f t="shared" si="92"/>
        <v>70.159736842105275</v>
      </c>
      <c r="R264" s="38">
        <f t="shared" si="93"/>
        <v>72.09401315789475</v>
      </c>
      <c r="S264" s="38">
        <f t="shared" si="94"/>
        <v>64.25</v>
      </c>
      <c r="T264" s="38">
        <f t="shared" si="95"/>
        <v>66.25</v>
      </c>
      <c r="U264" s="38">
        <f t="shared" si="96"/>
        <v>68.25</v>
      </c>
      <c r="V264" s="38">
        <f t="shared" si="97"/>
        <v>70.25</v>
      </c>
      <c r="W264" s="38">
        <f t="shared" si="98"/>
        <v>72</v>
      </c>
    </row>
    <row r="265" spans="1:23" ht="21" customHeight="1" x14ac:dyDescent="0.2">
      <c r="A265" s="19" t="s">
        <v>547</v>
      </c>
      <c r="B265" s="19" t="s">
        <v>421</v>
      </c>
      <c r="C265" s="32" t="s">
        <v>422</v>
      </c>
      <c r="D265" s="32" t="s">
        <v>384</v>
      </c>
      <c r="E265" s="20" t="s">
        <v>386</v>
      </c>
      <c r="F265" s="20" t="s">
        <v>401</v>
      </c>
      <c r="G265" s="33">
        <v>10</v>
      </c>
      <c r="H265" s="34">
        <f>VLOOKUP($C265,'Raw Cost'!$A$1:$B$484,2,FALSE)/G265</f>
        <v>5.2</v>
      </c>
      <c r="I265" s="34">
        <f t="shared" si="88"/>
        <v>0.32500000000000001</v>
      </c>
      <c r="J265" s="35">
        <v>6.25</v>
      </c>
      <c r="K265" s="35">
        <v>0.27</v>
      </c>
      <c r="L265" s="36">
        <f>VLOOKUP($F265,'Packaging Cost'!$A$1:$F$43,6,FALSE)</f>
        <v>2.6</v>
      </c>
      <c r="M265" s="37">
        <f>IF($E265="Snakpak",(($J265*H265)+($K265*'Labor Cost'!$A$2)+L265)+2.25,($J265*H265)+($K265*'Labor Cost'!$A$2)+L265+1)</f>
        <v>43.695</v>
      </c>
      <c r="N265" s="38">
        <f t="shared" si="89"/>
        <v>54.618749999999999</v>
      </c>
      <c r="O265" s="38">
        <f t="shared" si="90"/>
        <v>56.8035</v>
      </c>
      <c r="P265" s="38">
        <f t="shared" si="91"/>
        <v>58.988250000000001</v>
      </c>
      <c r="Q265" s="38">
        <f t="shared" si="92"/>
        <v>61.172999999999995</v>
      </c>
      <c r="R265" s="38">
        <f t="shared" si="93"/>
        <v>63.357749999999996</v>
      </c>
      <c r="S265" s="38">
        <f t="shared" si="94"/>
        <v>54.5</v>
      </c>
      <c r="T265" s="38">
        <f t="shared" si="95"/>
        <v>56.75</v>
      </c>
      <c r="U265" s="38">
        <f t="shared" si="96"/>
        <v>59</v>
      </c>
      <c r="V265" s="38">
        <f t="shared" si="97"/>
        <v>61.25</v>
      </c>
      <c r="W265" s="38">
        <f t="shared" si="98"/>
        <v>63.25</v>
      </c>
    </row>
    <row r="266" spans="1:23" ht="21" customHeight="1" x14ac:dyDescent="0.2">
      <c r="A266" s="19" t="s">
        <v>1273</v>
      </c>
      <c r="B266" s="19" t="s">
        <v>245</v>
      </c>
      <c r="C266" s="32" t="s">
        <v>1033</v>
      </c>
      <c r="D266" s="32" t="s">
        <v>385</v>
      </c>
      <c r="E266" s="20" t="s">
        <v>386</v>
      </c>
      <c r="F266" s="20" t="s">
        <v>401</v>
      </c>
      <c r="G266" s="33">
        <v>9</v>
      </c>
      <c r="H266" s="34">
        <f>VLOOKUP($C266,'Raw Cost'!$A$1:$B$484,2,FALSE)/G266</f>
        <v>3.7777777777777777</v>
      </c>
      <c r="I266" s="34">
        <f t="shared" si="88"/>
        <v>0.2361111111111111</v>
      </c>
      <c r="J266" s="35">
        <v>6.25</v>
      </c>
      <c r="K266" s="35">
        <v>0.25</v>
      </c>
      <c r="L266" s="36">
        <f>VLOOKUP($F266,'Packaging Cost'!$A$1:$F$43,6,FALSE)</f>
        <v>2.6</v>
      </c>
      <c r="M266" s="37">
        <f>IF($E266="Snakpak",(($J266*H266)+($K266*'Labor Cost'!$A$2)+L266)+2.25,($J266*H266)+($K266*'Labor Cost'!$A$2)+L266+1)</f>
        <v>34.336111111111109</v>
      </c>
      <c r="N266" s="38">
        <f t="shared" si="89"/>
        <v>58.920138888888886</v>
      </c>
      <c r="O266" s="38">
        <f t="shared" si="90"/>
        <v>60.636944444444445</v>
      </c>
      <c r="P266" s="38">
        <f t="shared" si="91"/>
        <v>62.353749999999998</v>
      </c>
      <c r="Q266" s="38">
        <f t="shared" si="92"/>
        <v>64.070555555555558</v>
      </c>
      <c r="R266" s="38">
        <f t="shared" si="93"/>
        <v>65.787361111111096</v>
      </c>
      <c r="S266" s="38">
        <f t="shared" si="94"/>
        <v>59</v>
      </c>
      <c r="T266" s="38">
        <f t="shared" si="95"/>
        <v>60.75</v>
      </c>
      <c r="U266" s="38">
        <f t="shared" si="96"/>
        <v>62.25</v>
      </c>
      <c r="V266" s="38">
        <f t="shared" si="97"/>
        <v>64</v>
      </c>
      <c r="W266" s="38">
        <f t="shared" si="98"/>
        <v>65.75</v>
      </c>
    </row>
    <row r="267" spans="1:23" ht="21" customHeight="1" x14ac:dyDescent="0.2">
      <c r="A267" s="19" t="s">
        <v>1274</v>
      </c>
      <c r="B267" s="19" t="s">
        <v>245</v>
      </c>
      <c r="C267" s="32" t="s">
        <v>1033</v>
      </c>
      <c r="D267" s="32" t="s">
        <v>384</v>
      </c>
      <c r="E267" s="20" t="s">
        <v>386</v>
      </c>
      <c r="F267" s="20" t="s">
        <v>401</v>
      </c>
      <c r="G267" s="33">
        <v>9</v>
      </c>
      <c r="H267" s="34">
        <f>VLOOKUP($C267,'Raw Cost'!$A$1:$B$484,2,FALSE)/G267</f>
        <v>3.7777777777777777</v>
      </c>
      <c r="I267" s="34">
        <f t="shared" ref="I267:I298" si="99">H267/16</f>
        <v>0.2361111111111111</v>
      </c>
      <c r="J267" s="35">
        <v>6.25</v>
      </c>
      <c r="K267" s="35">
        <v>0.25</v>
      </c>
      <c r="L267" s="36">
        <f>VLOOKUP($F267,'Packaging Cost'!$A$1:$F$43,6,FALSE)</f>
        <v>2.6</v>
      </c>
      <c r="M267" s="37">
        <f>IF($E267="Snakpak",(($J267*H267)+($K267*'Labor Cost'!$A$2)+L267)+2.25,($J267*H267)+($K267*'Labor Cost'!$A$2)+L267+1)</f>
        <v>34.336111111111109</v>
      </c>
      <c r="N267" s="38">
        <f t="shared" ref="N267:N298" si="100">IF($D267="No",$M267*1.25,($M267*1.25)+16)</f>
        <v>42.920138888888886</v>
      </c>
      <c r="O267" s="38">
        <f t="shared" ref="O267:O298" si="101">IF($D267="No",$M267*1.3,($M267*1.3)+16)</f>
        <v>44.636944444444445</v>
      </c>
      <c r="P267" s="38">
        <f t="shared" ref="P267:P298" si="102">IF($D267="No",$M267*1.35,($M267*1.35)+16)</f>
        <v>46.353749999999998</v>
      </c>
      <c r="Q267" s="38">
        <f t="shared" ref="Q267:Q298" si="103">IF($D267="No",$M267*1.4,($M267*1.4)+16)</f>
        <v>48.070555555555551</v>
      </c>
      <c r="R267" s="38">
        <f t="shared" ref="R267:R298" si="104">IF($D267="No",$M267*1.45,($M267*1.45)+16)</f>
        <v>49.787361111111103</v>
      </c>
      <c r="S267" s="38">
        <f t="shared" ref="S267:S298" si="105">MROUND(N267,0.25)</f>
        <v>43</v>
      </c>
      <c r="T267" s="38">
        <f t="shared" ref="T267:T298" si="106">MROUND(O267,0.25)</f>
        <v>44.75</v>
      </c>
      <c r="U267" s="38">
        <f t="shared" ref="U267:U298" si="107">MROUND(P267,0.25)</f>
        <v>46.25</v>
      </c>
      <c r="V267" s="38">
        <f t="shared" ref="V267:V298" si="108">MROUND(Q267,0.25)</f>
        <v>48</v>
      </c>
      <c r="W267" s="38">
        <f t="shared" ref="W267:W298" si="109">MROUND(R267,0.25)</f>
        <v>49.75</v>
      </c>
    </row>
    <row r="268" spans="1:23" ht="21" customHeight="1" x14ac:dyDescent="0.2">
      <c r="A268" s="19" t="s">
        <v>1229</v>
      </c>
      <c r="B268" s="19" t="s">
        <v>249</v>
      </c>
      <c r="C268" s="32" t="s">
        <v>1195</v>
      </c>
      <c r="D268" s="32" t="s">
        <v>384</v>
      </c>
      <c r="E268" s="20" t="s">
        <v>386</v>
      </c>
      <c r="F268" s="20" t="s">
        <v>401</v>
      </c>
      <c r="G268" s="33">
        <v>2</v>
      </c>
      <c r="H268" s="34">
        <f>VLOOKUP($C268,'Raw Cost'!$A$1:$B$484,2,FALSE)/G268</f>
        <v>1.8944444444444444</v>
      </c>
      <c r="I268" s="34">
        <f t="shared" si="99"/>
        <v>0.11840277777777777</v>
      </c>
      <c r="J268" s="35">
        <v>7.13</v>
      </c>
      <c r="K268" s="35">
        <v>0.27</v>
      </c>
      <c r="L268" s="36">
        <f>VLOOKUP($F268,'Packaging Cost'!$A$1:$F$43,6,FALSE)</f>
        <v>2.6</v>
      </c>
      <c r="M268" s="37">
        <f>IF($E268="Snakpak",(($J268*H268)+($K268*'Labor Cost'!$A$2)+L268)+2.25,($J268*H268)+($K268*'Labor Cost'!$A$2)+L268+1)</f>
        <v>24.702388888888891</v>
      </c>
      <c r="N268" s="38">
        <f t="shared" si="100"/>
        <v>30.877986111111113</v>
      </c>
      <c r="O268" s="38">
        <f t="shared" si="101"/>
        <v>32.113105555555556</v>
      </c>
      <c r="P268" s="38">
        <f t="shared" si="102"/>
        <v>33.348225000000006</v>
      </c>
      <c r="Q268" s="38">
        <f t="shared" si="103"/>
        <v>34.583344444444442</v>
      </c>
      <c r="R268" s="38">
        <f t="shared" si="104"/>
        <v>35.818463888888893</v>
      </c>
      <c r="S268" s="38">
        <f t="shared" si="105"/>
        <v>31</v>
      </c>
      <c r="T268" s="38">
        <f t="shared" si="106"/>
        <v>32</v>
      </c>
      <c r="U268" s="38">
        <f t="shared" si="107"/>
        <v>33.25</v>
      </c>
      <c r="V268" s="38">
        <f t="shared" si="108"/>
        <v>34.5</v>
      </c>
      <c r="W268" s="38">
        <f t="shared" si="109"/>
        <v>35.75</v>
      </c>
    </row>
    <row r="269" spans="1:23" ht="21" customHeight="1" x14ac:dyDescent="0.2">
      <c r="A269" s="19" t="s">
        <v>1230</v>
      </c>
      <c r="B269" s="19" t="s">
        <v>249</v>
      </c>
      <c r="C269" s="32" t="s">
        <v>1196</v>
      </c>
      <c r="D269" s="32" t="s">
        <v>384</v>
      </c>
      <c r="E269" s="20" t="s">
        <v>386</v>
      </c>
      <c r="F269" s="20" t="s">
        <v>401</v>
      </c>
      <c r="G269" s="33">
        <v>2</v>
      </c>
      <c r="H269" s="34">
        <f>VLOOKUP($C269,'Raw Cost'!$A$1:$B$484,2,FALSE)/G269</f>
        <v>1.7666666666666666</v>
      </c>
      <c r="I269" s="34">
        <f t="shared" si="99"/>
        <v>0.11041666666666666</v>
      </c>
      <c r="J269" s="35">
        <v>8.44</v>
      </c>
      <c r="K269" s="35">
        <v>0.27</v>
      </c>
      <c r="L269" s="36">
        <f>VLOOKUP($F269,'Packaging Cost'!$A$1:$F$43,6,FALSE)</f>
        <v>2.6</v>
      </c>
      <c r="M269" s="37">
        <f>IF($E269="Snakpak",(($J269*H269)+($K269*'Labor Cost'!$A$2)+L269)+2.25,($J269*H269)+($K269*'Labor Cost'!$A$2)+L269+1)</f>
        <v>26.105666666666668</v>
      </c>
      <c r="N269" s="38">
        <f t="shared" si="100"/>
        <v>32.632083333333334</v>
      </c>
      <c r="O269" s="38">
        <f t="shared" si="101"/>
        <v>33.937366666666669</v>
      </c>
      <c r="P269" s="38">
        <f t="shared" si="102"/>
        <v>35.242650000000005</v>
      </c>
      <c r="Q269" s="38">
        <f t="shared" si="103"/>
        <v>36.547933333333333</v>
      </c>
      <c r="R269" s="38">
        <f t="shared" si="104"/>
        <v>37.853216666666668</v>
      </c>
      <c r="S269" s="38">
        <f t="shared" si="105"/>
        <v>32.75</v>
      </c>
      <c r="T269" s="38">
        <f t="shared" si="106"/>
        <v>34</v>
      </c>
      <c r="U269" s="38">
        <f t="shared" si="107"/>
        <v>35.25</v>
      </c>
      <c r="V269" s="38">
        <f t="shared" si="108"/>
        <v>36.5</v>
      </c>
      <c r="W269" s="38">
        <f t="shared" si="109"/>
        <v>37.75</v>
      </c>
    </row>
    <row r="270" spans="1:23" ht="21" customHeight="1" x14ac:dyDescent="0.2">
      <c r="A270" s="19" t="s">
        <v>86</v>
      </c>
      <c r="B270" s="19" t="s">
        <v>249</v>
      </c>
      <c r="C270" s="32" t="s">
        <v>20</v>
      </c>
      <c r="D270" s="32" t="s">
        <v>384</v>
      </c>
      <c r="E270" s="20" t="s">
        <v>386</v>
      </c>
      <c r="F270" s="20" t="s">
        <v>401</v>
      </c>
      <c r="G270" s="33">
        <v>15</v>
      </c>
      <c r="H270" s="34">
        <f>VLOOKUP($C270,'Raw Cost'!$A$1:$B$484,2,FALSE)/G270</f>
        <v>1.7333333333333334</v>
      </c>
      <c r="I270" s="34">
        <f t="shared" si="99"/>
        <v>0.10833333333333334</v>
      </c>
      <c r="J270" s="35">
        <v>8.44</v>
      </c>
      <c r="K270" s="35">
        <v>0.27</v>
      </c>
      <c r="L270" s="36">
        <f>VLOOKUP($F270,'Packaging Cost'!$A$1:$F$43,6,FALSE)</f>
        <v>2.6</v>
      </c>
      <c r="M270" s="37">
        <f>IF($E270="Snakpak",(($J270*H270)+($K270*'Labor Cost'!$A$2)+L270)+2.25,($J270*H270)+($K270*'Labor Cost'!$A$2)+L270+1)</f>
        <v>25.824333333333335</v>
      </c>
      <c r="N270" s="38">
        <f t="shared" si="100"/>
        <v>32.280416666666667</v>
      </c>
      <c r="O270" s="38">
        <f t="shared" si="101"/>
        <v>33.571633333333338</v>
      </c>
      <c r="P270" s="38">
        <f t="shared" si="102"/>
        <v>34.862850000000002</v>
      </c>
      <c r="Q270" s="38">
        <f t="shared" si="103"/>
        <v>36.154066666666665</v>
      </c>
      <c r="R270" s="38">
        <f t="shared" si="104"/>
        <v>37.445283333333336</v>
      </c>
      <c r="S270" s="38">
        <f t="shared" si="105"/>
        <v>32.25</v>
      </c>
      <c r="T270" s="38">
        <f t="shared" si="106"/>
        <v>33.5</v>
      </c>
      <c r="U270" s="38">
        <f t="shared" si="107"/>
        <v>34.75</v>
      </c>
      <c r="V270" s="38">
        <f t="shared" si="108"/>
        <v>36.25</v>
      </c>
      <c r="W270" s="38">
        <f t="shared" si="109"/>
        <v>37.5</v>
      </c>
    </row>
    <row r="271" spans="1:23" ht="21" customHeight="1" x14ac:dyDescent="0.2">
      <c r="A271" s="19" t="s">
        <v>1231</v>
      </c>
      <c r="B271" s="19" t="s">
        <v>259</v>
      </c>
      <c r="C271" s="20" t="s">
        <v>1197</v>
      </c>
      <c r="D271" s="20" t="s">
        <v>384</v>
      </c>
      <c r="E271" s="20" t="s">
        <v>386</v>
      </c>
      <c r="F271" s="20" t="s">
        <v>401</v>
      </c>
      <c r="G271" s="33">
        <v>2</v>
      </c>
      <c r="H271" s="34">
        <f>VLOOKUP($C271,'Raw Cost'!$A$1:$B$484,2,FALSE)/G271</f>
        <v>1.4777777777777776</v>
      </c>
      <c r="I271" s="34">
        <f t="shared" si="99"/>
        <v>9.2361111111111102E-2</v>
      </c>
      <c r="J271" s="35">
        <v>7.13</v>
      </c>
      <c r="K271" s="35">
        <v>0.25</v>
      </c>
      <c r="L271" s="36">
        <f>VLOOKUP($F271,'Packaging Cost'!$A$1:$F$43,6,FALSE)</f>
        <v>2.6</v>
      </c>
      <c r="M271" s="37">
        <f>IF($E271="Snakpak",(($J271*H271)+($K271*'Labor Cost'!$A$2)+L271)+2.25,($J271*H271)+($K271*'Labor Cost'!$A$2)+L271+1)</f>
        <v>21.261555555555557</v>
      </c>
      <c r="N271" s="38">
        <f t="shared" si="100"/>
        <v>26.576944444444447</v>
      </c>
      <c r="O271" s="38">
        <f t="shared" si="101"/>
        <v>27.640022222222225</v>
      </c>
      <c r="P271" s="38">
        <f t="shared" si="102"/>
        <v>28.703100000000003</v>
      </c>
      <c r="Q271" s="38">
        <f t="shared" si="103"/>
        <v>29.766177777777777</v>
      </c>
      <c r="R271" s="38">
        <f t="shared" si="104"/>
        <v>30.829255555555555</v>
      </c>
      <c r="S271" s="38">
        <f t="shared" si="105"/>
        <v>26.5</v>
      </c>
      <c r="T271" s="38">
        <f t="shared" si="106"/>
        <v>27.75</v>
      </c>
      <c r="U271" s="38">
        <f t="shared" si="107"/>
        <v>28.75</v>
      </c>
      <c r="V271" s="38">
        <f t="shared" si="108"/>
        <v>29.75</v>
      </c>
      <c r="W271" s="38">
        <f t="shared" si="109"/>
        <v>30.75</v>
      </c>
    </row>
    <row r="272" spans="1:23" ht="21" customHeight="1" x14ac:dyDescent="0.2">
      <c r="A272" s="19" t="s">
        <v>1288</v>
      </c>
      <c r="B272" s="19" t="s">
        <v>259</v>
      </c>
      <c r="C272" s="20" t="s">
        <v>1197</v>
      </c>
      <c r="D272" s="20" t="s">
        <v>385</v>
      </c>
      <c r="E272" s="20" t="s">
        <v>386</v>
      </c>
      <c r="F272" s="20" t="s">
        <v>401</v>
      </c>
      <c r="G272" s="33">
        <v>2</v>
      </c>
      <c r="H272" s="34">
        <f>VLOOKUP($C272,'Raw Cost'!$A$1:$B$484,2,FALSE)/G272</f>
        <v>1.4777777777777776</v>
      </c>
      <c r="I272" s="34">
        <f t="shared" si="99"/>
        <v>9.2361111111111102E-2</v>
      </c>
      <c r="J272" s="35">
        <v>7.13</v>
      </c>
      <c r="K272" s="35">
        <v>0.25</v>
      </c>
      <c r="L272" s="36">
        <f>VLOOKUP($F272,'Packaging Cost'!$A$1:$F$43,6,FALSE)</f>
        <v>2.6</v>
      </c>
      <c r="M272" s="37">
        <f>IF($E272="Snakpak",(($J272*H272)+($K272*'Labor Cost'!$A$2)+L272)+2.25,($J272*H272)+($K272*'Labor Cost'!$A$2)+L272+1)</f>
        <v>21.261555555555557</v>
      </c>
      <c r="N272" s="38">
        <f t="shared" si="100"/>
        <v>42.57694444444445</v>
      </c>
      <c r="O272" s="38">
        <f t="shared" si="101"/>
        <v>43.640022222222228</v>
      </c>
      <c r="P272" s="38">
        <f t="shared" si="102"/>
        <v>44.703100000000006</v>
      </c>
      <c r="Q272" s="38">
        <f t="shared" si="103"/>
        <v>45.766177777777777</v>
      </c>
      <c r="R272" s="38">
        <f t="shared" si="104"/>
        <v>46.829255555555555</v>
      </c>
      <c r="S272" s="38">
        <f t="shared" si="105"/>
        <v>42.5</v>
      </c>
      <c r="T272" s="38">
        <f t="shared" si="106"/>
        <v>43.75</v>
      </c>
      <c r="U272" s="38">
        <f t="shared" si="107"/>
        <v>44.75</v>
      </c>
      <c r="V272" s="38">
        <f t="shared" si="108"/>
        <v>45.75</v>
      </c>
      <c r="W272" s="38">
        <f t="shared" si="109"/>
        <v>46.75</v>
      </c>
    </row>
    <row r="273" spans="1:23" ht="21" customHeight="1" x14ac:dyDescent="0.2">
      <c r="A273" s="19" t="s">
        <v>1232</v>
      </c>
      <c r="B273" s="19" t="s">
        <v>259</v>
      </c>
      <c r="C273" s="20" t="s">
        <v>1198</v>
      </c>
      <c r="D273" s="20" t="s">
        <v>384</v>
      </c>
      <c r="E273" s="20" t="s">
        <v>386</v>
      </c>
      <c r="F273" s="20" t="s">
        <v>401</v>
      </c>
      <c r="G273" s="33">
        <v>2</v>
      </c>
      <c r="H273" s="34">
        <f>VLOOKUP($C273,'Raw Cost'!$A$1:$B$484,2,FALSE)/G273</f>
        <v>1.8499999999999999</v>
      </c>
      <c r="I273" s="34">
        <f t="shared" si="99"/>
        <v>0.11562499999999999</v>
      </c>
      <c r="J273" s="35">
        <v>6.25</v>
      </c>
      <c r="K273" s="35">
        <v>0.25</v>
      </c>
      <c r="L273" s="36">
        <f>VLOOKUP($F273,'Packaging Cost'!$A$1:$F$43,6,FALSE)</f>
        <v>2.6</v>
      </c>
      <c r="M273" s="37">
        <f>IF($E273="Snakpak",(($J273*H273)+($K273*'Labor Cost'!$A$2)+L273)+2.25,($J273*H273)+($K273*'Labor Cost'!$A$2)+L273+1)</f>
        <v>22.287500000000001</v>
      </c>
      <c r="N273" s="38">
        <f t="shared" si="100"/>
        <v>27.859375</v>
      </c>
      <c r="O273" s="38">
        <f t="shared" si="101"/>
        <v>28.973750000000003</v>
      </c>
      <c r="P273" s="38">
        <f t="shared" si="102"/>
        <v>30.088125000000005</v>
      </c>
      <c r="Q273" s="38">
        <f t="shared" si="103"/>
        <v>31.202500000000001</v>
      </c>
      <c r="R273" s="38">
        <f t="shared" si="104"/>
        <v>32.316875000000003</v>
      </c>
      <c r="S273" s="38">
        <f t="shared" si="105"/>
        <v>27.75</v>
      </c>
      <c r="T273" s="38">
        <f t="shared" si="106"/>
        <v>29</v>
      </c>
      <c r="U273" s="38">
        <f t="shared" si="107"/>
        <v>30</v>
      </c>
      <c r="V273" s="38">
        <f t="shared" si="108"/>
        <v>31.25</v>
      </c>
      <c r="W273" s="38">
        <f t="shared" si="109"/>
        <v>32.25</v>
      </c>
    </row>
    <row r="274" spans="1:23" ht="21" customHeight="1" x14ac:dyDescent="0.2">
      <c r="A274" s="19" t="s">
        <v>1287</v>
      </c>
      <c r="B274" s="19" t="s">
        <v>259</v>
      </c>
      <c r="C274" s="20" t="s">
        <v>1198</v>
      </c>
      <c r="D274" s="20" t="s">
        <v>1253</v>
      </c>
      <c r="E274" s="20" t="s">
        <v>386</v>
      </c>
      <c r="F274" s="20" t="s">
        <v>401</v>
      </c>
      <c r="G274" s="33">
        <v>2</v>
      </c>
      <c r="H274" s="34">
        <f>VLOOKUP($C274,'Raw Cost'!$A$1:$B$484,2,FALSE)/G274</f>
        <v>1.8499999999999999</v>
      </c>
      <c r="I274" s="34">
        <f t="shared" si="99"/>
        <v>0.11562499999999999</v>
      </c>
      <c r="J274" s="35">
        <v>6.25</v>
      </c>
      <c r="K274" s="35">
        <v>0.25</v>
      </c>
      <c r="L274" s="36">
        <f>VLOOKUP($F274,'Packaging Cost'!$A$1:$F$43,6,FALSE)</f>
        <v>2.6</v>
      </c>
      <c r="M274" s="37">
        <f>IF($E274="Snakpak",(($J274*H274)+($K274*'Labor Cost'!$A$2)+L274)+2.25,($J274*H274)+($K274*'Labor Cost'!$A$2)+L274+1)</f>
        <v>22.287500000000001</v>
      </c>
      <c r="N274" s="38">
        <f t="shared" si="100"/>
        <v>43.859375</v>
      </c>
      <c r="O274" s="38">
        <f t="shared" si="101"/>
        <v>44.973750000000003</v>
      </c>
      <c r="P274" s="38">
        <f t="shared" si="102"/>
        <v>46.088125000000005</v>
      </c>
      <c r="Q274" s="38">
        <f t="shared" si="103"/>
        <v>47.202500000000001</v>
      </c>
      <c r="R274" s="38">
        <f t="shared" si="104"/>
        <v>48.316875000000003</v>
      </c>
      <c r="S274" s="38">
        <f t="shared" si="105"/>
        <v>43.75</v>
      </c>
      <c r="T274" s="38">
        <f t="shared" si="106"/>
        <v>45</v>
      </c>
      <c r="U274" s="38">
        <f t="shared" si="107"/>
        <v>46</v>
      </c>
      <c r="V274" s="38">
        <f t="shared" si="108"/>
        <v>47.25</v>
      </c>
      <c r="W274" s="38">
        <f t="shared" si="109"/>
        <v>48.25</v>
      </c>
    </row>
    <row r="275" spans="1:23" ht="21" customHeight="1" x14ac:dyDescent="0.2">
      <c r="A275" s="19" t="s">
        <v>1233</v>
      </c>
      <c r="B275" s="19" t="s">
        <v>259</v>
      </c>
      <c r="C275" s="20" t="s">
        <v>1199</v>
      </c>
      <c r="D275" s="20" t="s">
        <v>384</v>
      </c>
      <c r="E275" s="20" t="s">
        <v>386</v>
      </c>
      <c r="F275" s="20" t="s">
        <v>401</v>
      </c>
      <c r="G275" s="33">
        <v>2</v>
      </c>
      <c r="H275" s="34">
        <f>VLOOKUP($C275,'Raw Cost'!$A$1:$B$484,2,FALSE)/G275</f>
        <v>1.35</v>
      </c>
      <c r="I275" s="34">
        <f t="shared" si="99"/>
        <v>8.4375000000000006E-2</v>
      </c>
      <c r="J275" s="35">
        <v>8.44</v>
      </c>
      <c r="K275" s="35">
        <v>0.25</v>
      </c>
      <c r="L275" s="36">
        <f>VLOOKUP($F275,'Packaging Cost'!$A$1:$F$43,6,FALSE)</f>
        <v>2.6</v>
      </c>
      <c r="M275" s="37">
        <f>IF($E275="Snakpak",(($J275*H275)+($K275*'Labor Cost'!$A$2)+L275)+2.25,($J275*H275)+($K275*'Labor Cost'!$A$2)+L275+1)</f>
        <v>22.119</v>
      </c>
      <c r="N275" s="38">
        <f t="shared" si="100"/>
        <v>27.64875</v>
      </c>
      <c r="O275" s="38">
        <f t="shared" si="101"/>
        <v>28.7547</v>
      </c>
      <c r="P275" s="38">
        <f t="shared" si="102"/>
        <v>29.860650000000003</v>
      </c>
      <c r="Q275" s="38">
        <f t="shared" si="103"/>
        <v>30.966599999999996</v>
      </c>
      <c r="R275" s="38">
        <f t="shared" si="104"/>
        <v>32.07255</v>
      </c>
      <c r="S275" s="38">
        <f t="shared" si="105"/>
        <v>27.75</v>
      </c>
      <c r="T275" s="38">
        <f t="shared" si="106"/>
        <v>28.75</v>
      </c>
      <c r="U275" s="38">
        <f t="shared" si="107"/>
        <v>29.75</v>
      </c>
      <c r="V275" s="38">
        <f t="shared" si="108"/>
        <v>31</v>
      </c>
      <c r="W275" s="38">
        <f t="shared" si="109"/>
        <v>32</v>
      </c>
    </row>
    <row r="276" spans="1:23" ht="21" customHeight="1" x14ac:dyDescent="0.2">
      <c r="A276" s="19" t="s">
        <v>1286</v>
      </c>
      <c r="B276" s="19" t="s">
        <v>259</v>
      </c>
      <c r="C276" s="20" t="s">
        <v>1199</v>
      </c>
      <c r="D276" s="20" t="s">
        <v>385</v>
      </c>
      <c r="E276" s="20" t="s">
        <v>386</v>
      </c>
      <c r="F276" s="20" t="s">
        <v>401</v>
      </c>
      <c r="G276" s="33">
        <v>2</v>
      </c>
      <c r="H276" s="34">
        <f>VLOOKUP($C276,'Raw Cost'!$A$1:$B$484,2,FALSE)/G276</f>
        <v>1.35</v>
      </c>
      <c r="I276" s="34">
        <f t="shared" si="99"/>
        <v>8.4375000000000006E-2</v>
      </c>
      <c r="J276" s="35">
        <v>8.44</v>
      </c>
      <c r="K276" s="35">
        <v>0.25</v>
      </c>
      <c r="L276" s="36">
        <f>VLOOKUP($F276,'Packaging Cost'!$A$1:$F$43,6,FALSE)</f>
        <v>2.6</v>
      </c>
      <c r="M276" s="37">
        <f>IF($E276="Snakpak",(($J276*H276)+($K276*'Labor Cost'!$A$2)+L276)+2.25,($J276*H276)+($K276*'Labor Cost'!$A$2)+L276+1)</f>
        <v>22.119</v>
      </c>
      <c r="N276" s="38">
        <f t="shared" si="100"/>
        <v>43.64875</v>
      </c>
      <c r="O276" s="38">
        <f t="shared" si="101"/>
        <v>44.7547</v>
      </c>
      <c r="P276" s="38">
        <f t="shared" si="102"/>
        <v>45.860650000000007</v>
      </c>
      <c r="Q276" s="38">
        <f t="shared" si="103"/>
        <v>46.9666</v>
      </c>
      <c r="R276" s="38">
        <f t="shared" si="104"/>
        <v>48.07255</v>
      </c>
      <c r="S276" s="38">
        <f t="shared" si="105"/>
        <v>43.75</v>
      </c>
      <c r="T276" s="38">
        <f t="shared" si="106"/>
        <v>44.75</v>
      </c>
      <c r="U276" s="38">
        <f t="shared" si="107"/>
        <v>45.75</v>
      </c>
      <c r="V276" s="38">
        <f t="shared" si="108"/>
        <v>47</v>
      </c>
      <c r="W276" s="38">
        <f t="shared" si="109"/>
        <v>48</v>
      </c>
    </row>
    <row r="277" spans="1:23" ht="21" customHeight="1" x14ac:dyDescent="0.2">
      <c r="A277" s="19" t="s">
        <v>1163</v>
      </c>
      <c r="B277" s="19" t="s">
        <v>259</v>
      </c>
      <c r="C277" s="20" t="s">
        <v>1162</v>
      </c>
      <c r="D277" s="20" t="s">
        <v>384</v>
      </c>
      <c r="E277" s="20" t="s">
        <v>386</v>
      </c>
      <c r="F277" s="20" t="s">
        <v>401</v>
      </c>
      <c r="G277" s="33">
        <v>3</v>
      </c>
      <c r="H277" s="34">
        <f>VLOOKUP($C277,'Raw Cost'!$A$1:$B$484,2,FALSE)/G277</f>
        <v>1.6333333333333335</v>
      </c>
      <c r="I277" s="34">
        <f t="shared" si="99"/>
        <v>0.10208333333333335</v>
      </c>
      <c r="J277" s="35">
        <v>6.25</v>
      </c>
      <c r="K277" s="35">
        <v>0.25</v>
      </c>
      <c r="L277" s="36">
        <f>VLOOKUP($F277,'Packaging Cost'!$A$1:$F$43,6,FALSE)</f>
        <v>2.6</v>
      </c>
      <c r="M277" s="37">
        <f>IF($E277="Snakpak",(($J277*H277)+($K277*'Labor Cost'!$A$2)+L277)+2.25,($J277*H277)+($K277*'Labor Cost'!$A$2)+L277+1)</f>
        <v>20.933333333333337</v>
      </c>
      <c r="N277" s="38">
        <f t="shared" si="100"/>
        <v>26.166666666666671</v>
      </c>
      <c r="O277" s="38">
        <f t="shared" si="101"/>
        <v>27.213333333333338</v>
      </c>
      <c r="P277" s="38">
        <f t="shared" si="102"/>
        <v>28.260000000000009</v>
      </c>
      <c r="Q277" s="38">
        <f t="shared" si="103"/>
        <v>29.306666666666668</v>
      </c>
      <c r="R277" s="38">
        <f t="shared" si="104"/>
        <v>30.353333333333339</v>
      </c>
      <c r="S277" s="38">
        <f t="shared" si="105"/>
        <v>26.25</v>
      </c>
      <c r="T277" s="38">
        <f t="shared" si="106"/>
        <v>27.25</v>
      </c>
      <c r="U277" s="38">
        <f t="shared" si="107"/>
        <v>28.25</v>
      </c>
      <c r="V277" s="38">
        <f t="shared" si="108"/>
        <v>29.25</v>
      </c>
      <c r="W277" s="38">
        <f t="shared" si="109"/>
        <v>30.25</v>
      </c>
    </row>
    <row r="278" spans="1:23" ht="21" customHeight="1" x14ac:dyDescent="0.2">
      <c r="A278" s="19" t="s">
        <v>1285</v>
      </c>
      <c r="B278" s="19" t="s">
        <v>259</v>
      </c>
      <c r="C278" s="20" t="s">
        <v>1162</v>
      </c>
      <c r="D278" s="20" t="s">
        <v>1253</v>
      </c>
      <c r="E278" s="20" t="s">
        <v>386</v>
      </c>
      <c r="F278" s="20" t="s">
        <v>401</v>
      </c>
      <c r="G278" s="33">
        <v>3</v>
      </c>
      <c r="H278" s="34">
        <f>VLOOKUP($C278,'Raw Cost'!$A$1:$B$484,2,FALSE)/G278</f>
        <v>1.6333333333333335</v>
      </c>
      <c r="I278" s="34">
        <f t="shared" si="99"/>
        <v>0.10208333333333335</v>
      </c>
      <c r="J278" s="35">
        <v>6.25</v>
      </c>
      <c r="K278" s="35">
        <v>0.25</v>
      </c>
      <c r="L278" s="36">
        <f>VLOOKUP($F278,'Packaging Cost'!$A$1:$F$43,6,FALSE)</f>
        <v>2.6</v>
      </c>
      <c r="M278" s="37">
        <f>IF($E278="Snakpak",(($J278*H278)+($K278*'Labor Cost'!$A$2)+L278)+2.25,($J278*H278)+($K278*'Labor Cost'!$A$2)+L278+1)</f>
        <v>20.933333333333337</v>
      </c>
      <c r="N278" s="38">
        <f t="shared" si="100"/>
        <v>42.166666666666671</v>
      </c>
      <c r="O278" s="38">
        <f t="shared" si="101"/>
        <v>43.213333333333338</v>
      </c>
      <c r="P278" s="38">
        <f t="shared" si="102"/>
        <v>44.260000000000005</v>
      </c>
      <c r="Q278" s="38">
        <f t="shared" si="103"/>
        <v>45.306666666666672</v>
      </c>
      <c r="R278" s="38">
        <f t="shared" si="104"/>
        <v>46.353333333333339</v>
      </c>
      <c r="S278" s="38">
        <f t="shared" si="105"/>
        <v>42.25</v>
      </c>
      <c r="T278" s="38">
        <f t="shared" si="106"/>
        <v>43.25</v>
      </c>
      <c r="U278" s="38">
        <f t="shared" si="107"/>
        <v>44.25</v>
      </c>
      <c r="V278" s="38">
        <f t="shared" si="108"/>
        <v>45.25</v>
      </c>
      <c r="W278" s="38">
        <f t="shared" si="109"/>
        <v>46.25</v>
      </c>
    </row>
    <row r="279" spans="1:23" ht="21" customHeight="1" x14ac:dyDescent="0.2">
      <c r="A279" s="19" t="s">
        <v>550</v>
      </c>
      <c r="B279" s="19" t="s">
        <v>259</v>
      </c>
      <c r="C279" s="20" t="s">
        <v>21</v>
      </c>
      <c r="D279" s="20" t="s">
        <v>384</v>
      </c>
      <c r="E279" s="20" t="s">
        <v>386</v>
      </c>
      <c r="F279" s="20" t="s">
        <v>401</v>
      </c>
      <c r="G279" s="33">
        <v>20</v>
      </c>
      <c r="H279" s="34">
        <f>VLOOKUP($C279,'Raw Cost'!$A$1:$B$484,2,FALSE)/G279</f>
        <v>1.35</v>
      </c>
      <c r="I279" s="34">
        <f t="shared" si="99"/>
        <v>8.4375000000000006E-2</v>
      </c>
      <c r="J279" s="35">
        <v>6.25</v>
      </c>
      <c r="K279" s="35">
        <v>0.25</v>
      </c>
      <c r="L279" s="36">
        <f>VLOOKUP($F279,'Packaging Cost'!$A$1:$F$43,6,FALSE)</f>
        <v>2.6</v>
      </c>
      <c r="M279" s="37">
        <f>IF($E279="Snakpak",(($J279*H279)+($K279*'Labor Cost'!$A$2)+L279)+2.25,($J279*H279)+($K279*'Labor Cost'!$A$2)+L279+1)</f>
        <v>19.162500000000001</v>
      </c>
      <c r="N279" s="38">
        <f t="shared" si="100"/>
        <v>23.953125</v>
      </c>
      <c r="O279" s="38">
        <f t="shared" si="101"/>
        <v>24.911250000000003</v>
      </c>
      <c r="P279" s="38">
        <f t="shared" si="102"/>
        <v>25.869375000000005</v>
      </c>
      <c r="Q279" s="38">
        <f t="shared" si="103"/>
        <v>26.827500000000001</v>
      </c>
      <c r="R279" s="38">
        <f t="shared" si="104"/>
        <v>27.785625</v>
      </c>
      <c r="S279" s="38">
        <f t="shared" si="105"/>
        <v>24</v>
      </c>
      <c r="T279" s="38">
        <f t="shared" si="106"/>
        <v>25</v>
      </c>
      <c r="U279" s="38">
        <f t="shared" si="107"/>
        <v>25.75</v>
      </c>
      <c r="V279" s="38">
        <f t="shared" si="108"/>
        <v>26.75</v>
      </c>
      <c r="W279" s="38">
        <f t="shared" si="109"/>
        <v>27.75</v>
      </c>
    </row>
    <row r="280" spans="1:23" ht="21" customHeight="1" x14ac:dyDescent="0.2">
      <c r="A280" s="19" t="s">
        <v>551</v>
      </c>
      <c r="B280" s="19" t="s">
        <v>260</v>
      </c>
      <c r="C280" s="20" t="s">
        <v>21</v>
      </c>
      <c r="D280" s="20" t="s">
        <v>385</v>
      </c>
      <c r="E280" s="20" t="s">
        <v>386</v>
      </c>
      <c r="F280" s="20" t="s">
        <v>401</v>
      </c>
      <c r="G280" s="33">
        <v>20</v>
      </c>
      <c r="H280" s="34">
        <f>VLOOKUP($C280,'Raw Cost'!$A$1:$B$484,2,FALSE)/G280</f>
        <v>1.35</v>
      </c>
      <c r="I280" s="34">
        <f t="shared" si="99"/>
        <v>8.4375000000000006E-2</v>
      </c>
      <c r="J280" s="35">
        <v>6.25</v>
      </c>
      <c r="K280" s="35">
        <v>0.4</v>
      </c>
      <c r="L280" s="36">
        <f>VLOOKUP($F280,'Packaging Cost'!$A$1:$F$43,6,FALSE)</f>
        <v>2.6</v>
      </c>
      <c r="M280" s="37">
        <f>IF($E280="Snakpak",(($J280*H280)+($K280*'Labor Cost'!$A$2)+L280)+2.25,($J280*H280)+($K280*'Labor Cost'!$A$2)+L280+1)</f>
        <v>22.6875</v>
      </c>
      <c r="N280" s="38">
        <f t="shared" si="100"/>
        <v>44.359375</v>
      </c>
      <c r="O280" s="38">
        <f t="shared" si="101"/>
        <v>45.493750000000006</v>
      </c>
      <c r="P280" s="38">
        <f t="shared" si="102"/>
        <v>46.628124999999997</v>
      </c>
      <c r="Q280" s="38">
        <f t="shared" si="103"/>
        <v>47.762500000000003</v>
      </c>
      <c r="R280" s="38">
        <f t="shared" si="104"/>
        <v>48.896875000000001</v>
      </c>
      <c r="S280" s="38">
        <f t="shared" si="105"/>
        <v>44.25</v>
      </c>
      <c r="T280" s="38">
        <f t="shared" si="106"/>
        <v>45.5</v>
      </c>
      <c r="U280" s="38">
        <f t="shared" si="107"/>
        <v>46.75</v>
      </c>
      <c r="V280" s="38">
        <f t="shared" si="108"/>
        <v>47.75</v>
      </c>
      <c r="W280" s="38">
        <f t="shared" si="109"/>
        <v>49</v>
      </c>
    </row>
    <row r="281" spans="1:23" ht="21" customHeight="1" x14ac:dyDescent="0.2">
      <c r="A281" s="19" t="s">
        <v>1145</v>
      </c>
      <c r="B281" s="19" t="s">
        <v>262</v>
      </c>
      <c r="C281" s="20" t="s">
        <v>1144</v>
      </c>
      <c r="D281" s="20" t="s">
        <v>384</v>
      </c>
      <c r="E281" s="20" t="s">
        <v>386</v>
      </c>
      <c r="F281" s="20" t="s">
        <v>401</v>
      </c>
      <c r="G281" s="33">
        <v>2</v>
      </c>
      <c r="H281" s="34">
        <f>VLOOKUP($C281,'Raw Cost'!$A$1:$B$484,2,FALSE)/G281</f>
        <v>2.1944444444444446</v>
      </c>
      <c r="I281" s="34">
        <f t="shared" si="99"/>
        <v>0.13715277777777779</v>
      </c>
      <c r="J281" s="35">
        <v>7.1</v>
      </c>
      <c r="K281" s="35">
        <v>0.25</v>
      </c>
      <c r="L281" s="36">
        <f>VLOOKUP($F281,'Packaging Cost'!$A$1:$F$43,6,FALSE)</f>
        <v>2.6</v>
      </c>
      <c r="M281" s="37">
        <f>IF($E281="Snakpak",(($J281*H281)+($K281*'Labor Cost'!$A$2)+L281)+2.25,($J281*H281)+($K281*'Labor Cost'!$A$2)+L281+1)</f>
        <v>26.305555555555557</v>
      </c>
      <c r="N281" s="38">
        <f t="shared" si="100"/>
        <v>32.881944444444443</v>
      </c>
      <c r="O281" s="38">
        <f t="shared" si="101"/>
        <v>34.197222222222223</v>
      </c>
      <c r="P281" s="38">
        <f t="shared" si="102"/>
        <v>35.512500000000003</v>
      </c>
      <c r="Q281" s="38">
        <f t="shared" si="103"/>
        <v>36.827777777777776</v>
      </c>
      <c r="R281" s="38">
        <f t="shared" si="104"/>
        <v>38.143055555555556</v>
      </c>
      <c r="S281" s="38">
        <f t="shared" si="105"/>
        <v>33</v>
      </c>
      <c r="T281" s="38">
        <f t="shared" si="106"/>
        <v>34.25</v>
      </c>
      <c r="U281" s="38">
        <f t="shared" si="107"/>
        <v>35.5</v>
      </c>
      <c r="V281" s="38">
        <f t="shared" si="108"/>
        <v>36.75</v>
      </c>
      <c r="W281" s="38">
        <f t="shared" si="109"/>
        <v>38.25</v>
      </c>
    </row>
    <row r="282" spans="1:23" ht="21" customHeight="1" x14ac:dyDescent="0.2">
      <c r="A282" s="19" t="s">
        <v>1048</v>
      </c>
      <c r="B282" s="19" t="s">
        <v>262</v>
      </c>
      <c r="C282" s="20" t="s">
        <v>1025</v>
      </c>
      <c r="D282" s="20" t="s">
        <v>384</v>
      </c>
      <c r="E282" s="20" t="s">
        <v>386</v>
      </c>
      <c r="F282" s="20" t="s">
        <v>401</v>
      </c>
      <c r="G282" s="33">
        <v>18.25</v>
      </c>
      <c r="H282" s="34">
        <f>VLOOKUP($C282,'Raw Cost'!$A$1:$B$484,2,FALSE)/G282</f>
        <v>0</v>
      </c>
      <c r="I282" s="34">
        <f t="shared" si="99"/>
        <v>0</v>
      </c>
      <c r="J282" s="35">
        <v>6.25</v>
      </c>
      <c r="K282" s="35">
        <v>0.25</v>
      </c>
      <c r="L282" s="36">
        <f>VLOOKUP($F282,'Packaging Cost'!$A$1:$F$43,6,FALSE)</f>
        <v>2.6</v>
      </c>
      <c r="M282" s="37">
        <f>IF($E282="Snakpak",(($J282*H282)+($K282*'Labor Cost'!$A$2)+L282)+2.25,($J282*H282)+($K282*'Labor Cost'!$A$2)+L282+1)</f>
        <v>10.725</v>
      </c>
      <c r="N282" s="38">
        <f t="shared" si="100"/>
        <v>13.40625</v>
      </c>
      <c r="O282" s="38">
        <f t="shared" si="101"/>
        <v>13.942500000000001</v>
      </c>
      <c r="P282" s="38">
        <f t="shared" si="102"/>
        <v>14.47875</v>
      </c>
      <c r="Q282" s="38">
        <f t="shared" si="103"/>
        <v>15.014999999999999</v>
      </c>
      <c r="R282" s="38">
        <f t="shared" si="104"/>
        <v>15.55125</v>
      </c>
      <c r="S282" s="38">
        <f t="shared" si="105"/>
        <v>13.5</v>
      </c>
      <c r="T282" s="38">
        <f t="shared" si="106"/>
        <v>14</v>
      </c>
      <c r="U282" s="38">
        <f t="shared" si="107"/>
        <v>14.5</v>
      </c>
      <c r="V282" s="38">
        <f t="shared" si="108"/>
        <v>15</v>
      </c>
      <c r="W282" s="38">
        <f t="shared" si="109"/>
        <v>15.5</v>
      </c>
    </row>
    <row r="283" spans="1:23" ht="21" customHeight="1" x14ac:dyDescent="0.2">
      <c r="A283" s="19" t="s">
        <v>94</v>
      </c>
      <c r="B283" s="19" t="s">
        <v>262</v>
      </c>
      <c r="C283" s="20" t="s">
        <v>23</v>
      </c>
      <c r="D283" s="20" t="s">
        <v>384</v>
      </c>
      <c r="E283" s="20" t="s">
        <v>386</v>
      </c>
      <c r="F283" s="20" t="s">
        <v>401</v>
      </c>
      <c r="G283" s="33">
        <v>18.25</v>
      </c>
      <c r="H283" s="34">
        <f>VLOOKUP($C283,'Raw Cost'!$A$1:$B$484,2,FALSE)/G283</f>
        <v>2.3013698630136985</v>
      </c>
      <c r="I283" s="34">
        <f t="shared" si="99"/>
        <v>0.14383561643835616</v>
      </c>
      <c r="J283" s="35">
        <v>6.25</v>
      </c>
      <c r="K283" s="35">
        <v>0.25</v>
      </c>
      <c r="L283" s="36">
        <f>VLOOKUP($F283,'Packaging Cost'!$A$1:$F$43,6,FALSE)</f>
        <v>2.6</v>
      </c>
      <c r="M283" s="37">
        <f>IF($E283="Snakpak",(($J283*H283)+($K283*'Labor Cost'!$A$2)+L283)+2.25,($J283*H283)+($K283*'Labor Cost'!$A$2)+L283+1)</f>
        <v>25.108561643835618</v>
      </c>
      <c r="N283" s="38">
        <f t="shared" si="100"/>
        <v>31.385702054794521</v>
      </c>
      <c r="O283" s="38">
        <f t="shared" si="101"/>
        <v>32.641130136986305</v>
      </c>
      <c r="P283" s="38">
        <f t="shared" si="102"/>
        <v>33.896558219178083</v>
      </c>
      <c r="Q283" s="38">
        <f t="shared" si="103"/>
        <v>35.15198630136986</v>
      </c>
      <c r="R283" s="38">
        <f t="shared" si="104"/>
        <v>36.407414383561644</v>
      </c>
      <c r="S283" s="38">
        <f t="shared" si="105"/>
        <v>31.5</v>
      </c>
      <c r="T283" s="38">
        <f t="shared" si="106"/>
        <v>32.75</v>
      </c>
      <c r="U283" s="38">
        <f t="shared" si="107"/>
        <v>34</v>
      </c>
      <c r="V283" s="38">
        <f t="shared" si="108"/>
        <v>35.25</v>
      </c>
      <c r="W283" s="38">
        <f t="shared" si="109"/>
        <v>36.5</v>
      </c>
    </row>
    <row r="284" spans="1:23" ht="21" customHeight="1" x14ac:dyDescent="0.2">
      <c r="A284" s="19" t="s">
        <v>425</v>
      </c>
      <c r="B284" s="19" t="s">
        <v>423</v>
      </c>
      <c r="C284" s="32" t="s">
        <v>438</v>
      </c>
      <c r="D284" s="32" t="s">
        <v>384</v>
      </c>
      <c r="E284" s="20" t="s">
        <v>386</v>
      </c>
      <c r="F284" s="20" t="s">
        <v>401</v>
      </c>
      <c r="G284" s="33">
        <v>9</v>
      </c>
      <c r="H284" s="34">
        <f>VLOOKUP($C284,'Raw Cost'!$A$1:$B$484,2,FALSE)/G284</f>
        <v>10.888888888888889</v>
      </c>
      <c r="I284" s="34">
        <f t="shared" si="99"/>
        <v>0.68055555555555558</v>
      </c>
      <c r="J284" s="35">
        <v>6.25</v>
      </c>
      <c r="K284" s="35">
        <v>0.25</v>
      </c>
      <c r="L284" s="36">
        <f>VLOOKUP($F284,'Packaging Cost'!$A$1:$F$43,6,FALSE)</f>
        <v>2.6</v>
      </c>
      <c r="M284" s="37">
        <f>IF($E284="Snakpak",(($J284*H284)+($K284*'Labor Cost'!$A$2)+L284)+2.25,($J284*H284)+($K284*'Labor Cost'!$A$2)+L284+1)</f>
        <v>78.780555555555551</v>
      </c>
      <c r="N284" s="38">
        <f t="shared" si="100"/>
        <v>98.475694444444443</v>
      </c>
      <c r="O284" s="38">
        <f t="shared" si="101"/>
        <v>102.41472222222222</v>
      </c>
      <c r="P284" s="38">
        <f t="shared" si="102"/>
        <v>106.35375000000001</v>
      </c>
      <c r="Q284" s="38">
        <f t="shared" si="103"/>
        <v>110.29277777777777</v>
      </c>
      <c r="R284" s="38">
        <f t="shared" si="104"/>
        <v>114.23180555555555</v>
      </c>
      <c r="S284" s="38">
        <f t="shared" si="105"/>
        <v>98.5</v>
      </c>
      <c r="T284" s="38">
        <f t="shared" si="106"/>
        <v>102.5</v>
      </c>
      <c r="U284" s="38">
        <f t="shared" si="107"/>
        <v>106.25</v>
      </c>
      <c r="V284" s="38">
        <f t="shared" si="108"/>
        <v>110.25</v>
      </c>
      <c r="W284" s="38">
        <f t="shared" si="109"/>
        <v>114.25</v>
      </c>
    </row>
    <row r="285" spans="1:23" ht="21" customHeight="1" x14ac:dyDescent="0.2">
      <c r="A285" s="19" t="s">
        <v>1138</v>
      </c>
      <c r="B285" s="19" t="s">
        <v>1139</v>
      </c>
      <c r="C285" s="20" t="s">
        <v>1136</v>
      </c>
      <c r="D285" s="20" t="s">
        <v>384</v>
      </c>
      <c r="E285" s="20" t="s">
        <v>386</v>
      </c>
      <c r="F285" s="20" t="s">
        <v>401</v>
      </c>
      <c r="G285" s="33">
        <v>2</v>
      </c>
      <c r="H285" s="34">
        <f>VLOOKUP($C285,'Raw Cost'!$A$1:$B$484,2,FALSE)/G285</f>
        <v>0.75</v>
      </c>
      <c r="I285" s="34">
        <f t="shared" si="99"/>
        <v>4.6875E-2</v>
      </c>
      <c r="J285" s="35">
        <v>6.25</v>
      </c>
      <c r="K285" s="35">
        <v>0.25</v>
      </c>
      <c r="L285" s="36">
        <f>VLOOKUP($F285,'Packaging Cost'!$A$1:$F$43,6,FALSE)</f>
        <v>2.6</v>
      </c>
      <c r="M285" s="37">
        <f>IF($E285="Snakpak",(($J285*H285)+($K285*'Labor Cost'!$A$2)+L285)+2.25,($J285*H285)+($K285*'Labor Cost'!$A$2)+L285+1)</f>
        <v>15.4125</v>
      </c>
      <c r="N285" s="38">
        <f t="shared" si="100"/>
        <v>19.265625</v>
      </c>
      <c r="O285" s="38">
        <f t="shared" si="101"/>
        <v>20.036249999999999</v>
      </c>
      <c r="P285" s="38">
        <f t="shared" si="102"/>
        <v>20.806875000000002</v>
      </c>
      <c r="Q285" s="38">
        <f t="shared" si="103"/>
        <v>21.577499999999997</v>
      </c>
      <c r="R285" s="38">
        <f t="shared" si="104"/>
        <v>22.348125</v>
      </c>
      <c r="S285" s="38">
        <f t="shared" si="105"/>
        <v>19.25</v>
      </c>
      <c r="T285" s="38">
        <f t="shared" si="106"/>
        <v>20</v>
      </c>
      <c r="U285" s="38">
        <f t="shared" si="107"/>
        <v>20.75</v>
      </c>
      <c r="V285" s="38">
        <f t="shared" si="108"/>
        <v>21.5</v>
      </c>
      <c r="W285" s="38">
        <f t="shared" si="109"/>
        <v>22.25</v>
      </c>
    </row>
    <row r="286" spans="1:23" ht="21" customHeight="1" x14ac:dyDescent="0.2">
      <c r="A286" s="19" t="s">
        <v>1065</v>
      </c>
      <c r="B286" s="19" t="s">
        <v>1066</v>
      </c>
      <c r="C286" s="20" t="s">
        <v>24</v>
      </c>
      <c r="D286" s="20" t="s">
        <v>1067</v>
      </c>
      <c r="E286" s="20" t="s">
        <v>386</v>
      </c>
      <c r="F286" s="20" t="s">
        <v>401</v>
      </c>
      <c r="G286" s="33">
        <v>38</v>
      </c>
      <c r="H286" s="34">
        <f>VLOOKUP($C286,'Raw Cost'!$A$1:$B$484,2,FALSE)/G286</f>
        <v>0.81578947368421051</v>
      </c>
      <c r="I286" s="34">
        <f t="shared" si="99"/>
        <v>5.0986842105263157E-2</v>
      </c>
      <c r="J286" s="35">
        <v>7.1</v>
      </c>
      <c r="K286" s="35">
        <v>0.25</v>
      </c>
      <c r="L286" s="36">
        <f>VLOOKUP($F286,'Packaging Cost'!$A$1:$F$43,6,FALSE)</f>
        <v>2.6</v>
      </c>
      <c r="M286" s="37">
        <f>IF($E286="Snakpak",(($J286*H286)+($K286*'Labor Cost'!$A$2)+L286)+2.25,($J286*H286)+($K286*'Labor Cost'!$A$2)+L286+1)</f>
        <v>16.517105263157895</v>
      </c>
      <c r="N286" s="38">
        <f t="shared" si="100"/>
        <v>20.64638157894737</v>
      </c>
      <c r="O286" s="38">
        <f t="shared" si="101"/>
        <v>21.472236842105264</v>
      </c>
      <c r="P286" s="38">
        <f t="shared" si="102"/>
        <v>22.298092105263159</v>
      </c>
      <c r="Q286" s="38">
        <f t="shared" si="103"/>
        <v>23.123947368421049</v>
      </c>
      <c r="R286" s="38">
        <f t="shared" si="104"/>
        <v>23.949802631578947</v>
      </c>
      <c r="S286" s="38">
        <f t="shared" si="105"/>
        <v>20.75</v>
      </c>
      <c r="T286" s="38">
        <f t="shared" si="106"/>
        <v>21.5</v>
      </c>
      <c r="U286" s="38">
        <f t="shared" si="107"/>
        <v>22.25</v>
      </c>
      <c r="V286" s="38">
        <f t="shared" si="108"/>
        <v>23</v>
      </c>
      <c r="W286" s="38">
        <f t="shared" si="109"/>
        <v>24</v>
      </c>
    </row>
    <row r="287" spans="1:23" ht="21" customHeight="1" x14ac:dyDescent="0.2">
      <c r="A287" s="19" t="s">
        <v>1141</v>
      </c>
      <c r="B287" s="19" t="s">
        <v>264</v>
      </c>
      <c r="C287" s="20" t="s">
        <v>1140</v>
      </c>
      <c r="D287" s="20" t="s">
        <v>384</v>
      </c>
      <c r="E287" s="20" t="s">
        <v>386</v>
      </c>
      <c r="F287" s="20" t="s">
        <v>401</v>
      </c>
      <c r="G287" s="33">
        <v>2</v>
      </c>
      <c r="H287" s="34">
        <f>VLOOKUP($C287,'Raw Cost'!$A$1:$B$484,2,FALSE)/G287</f>
        <v>5.5555555555555554</v>
      </c>
      <c r="I287" s="34">
        <f t="shared" si="99"/>
        <v>0.34722222222222221</v>
      </c>
      <c r="J287" s="35">
        <v>6.25</v>
      </c>
      <c r="K287" s="35">
        <v>0.25</v>
      </c>
      <c r="L287" s="36">
        <f>VLOOKUP($F287,'Packaging Cost'!$A$1:$F$43,6,FALSE)</f>
        <v>2.6</v>
      </c>
      <c r="M287" s="37">
        <f>IF($E287="Snakpak",(($J287*H287)+($K287*'Labor Cost'!$A$2)+L287)+2.25,($J287*H287)+($K287*'Labor Cost'!$A$2)+L287+1)</f>
        <v>45.447222222222223</v>
      </c>
      <c r="N287" s="38">
        <f t="shared" si="100"/>
        <v>56.809027777777779</v>
      </c>
      <c r="O287" s="38">
        <f t="shared" si="101"/>
        <v>59.081388888888888</v>
      </c>
      <c r="P287" s="38">
        <f t="shared" si="102"/>
        <v>61.353750000000005</v>
      </c>
      <c r="Q287" s="38">
        <f t="shared" si="103"/>
        <v>63.626111111111108</v>
      </c>
      <c r="R287" s="38">
        <f t="shared" si="104"/>
        <v>65.898472222222225</v>
      </c>
      <c r="S287" s="38">
        <f t="shared" si="105"/>
        <v>56.75</v>
      </c>
      <c r="T287" s="38">
        <f t="shared" si="106"/>
        <v>59</v>
      </c>
      <c r="U287" s="38">
        <f t="shared" si="107"/>
        <v>61.25</v>
      </c>
      <c r="V287" s="38">
        <f t="shared" si="108"/>
        <v>63.75</v>
      </c>
      <c r="W287" s="38">
        <f t="shared" si="109"/>
        <v>66</v>
      </c>
    </row>
    <row r="288" spans="1:23" ht="21" customHeight="1" x14ac:dyDescent="0.2">
      <c r="A288" s="19" t="s">
        <v>1161</v>
      </c>
      <c r="B288" s="19" t="s">
        <v>264</v>
      </c>
      <c r="C288" s="20" t="s">
        <v>1160</v>
      </c>
      <c r="D288" s="20" t="s">
        <v>384</v>
      </c>
      <c r="E288" s="20" t="s">
        <v>386</v>
      </c>
      <c r="F288" s="20" t="s">
        <v>401</v>
      </c>
      <c r="G288" s="33">
        <v>3</v>
      </c>
      <c r="H288" s="34">
        <f>VLOOKUP($C288,'Raw Cost'!$A$1:$B$484,2,FALSE)/G288</f>
        <v>2.2185185185185183</v>
      </c>
      <c r="I288" s="34">
        <f t="shared" si="99"/>
        <v>0.1386574074074074</v>
      </c>
      <c r="J288" s="35">
        <v>7.2</v>
      </c>
      <c r="K288" s="35">
        <v>0.25</v>
      </c>
      <c r="L288" s="36">
        <f>VLOOKUP($F288,'Packaging Cost'!$A$1:$F$43,6,FALSE)</f>
        <v>2.6</v>
      </c>
      <c r="M288" s="37">
        <f>IF($E288="Snakpak",(($J288*H288)+($K288*'Labor Cost'!$A$2)+L288)+2.25,($J288*H288)+($K288*'Labor Cost'!$A$2)+L288+1)</f>
        <v>26.698333333333334</v>
      </c>
      <c r="N288" s="38">
        <f t="shared" si="100"/>
        <v>33.372916666666669</v>
      </c>
      <c r="O288" s="38">
        <f t="shared" si="101"/>
        <v>34.707833333333333</v>
      </c>
      <c r="P288" s="38">
        <f t="shared" si="102"/>
        <v>36.042750000000005</v>
      </c>
      <c r="Q288" s="38">
        <f t="shared" si="103"/>
        <v>37.377666666666663</v>
      </c>
      <c r="R288" s="38">
        <f t="shared" si="104"/>
        <v>38.712583333333335</v>
      </c>
      <c r="S288" s="38">
        <f t="shared" si="105"/>
        <v>33.25</v>
      </c>
      <c r="T288" s="38">
        <f t="shared" si="106"/>
        <v>34.75</v>
      </c>
      <c r="U288" s="38">
        <f t="shared" si="107"/>
        <v>36</v>
      </c>
      <c r="V288" s="38">
        <f t="shared" si="108"/>
        <v>37.5</v>
      </c>
      <c r="W288" s="38">
        <f t="shared" si="109"/>
        <v>38.75</v>
      </c>
    </row>
    <row r="289" spans="1:23" ht="21" customHeight="1" x14ac:dyDescent="0.2">
      <c r="A289" s="19" t="s">
        <v>480</v>
      </c>
      <c r="B289" s="19" t="s">
        <v>264</v>
      </c>
      <c r="C289" s="20" t="s">
        <v>25</v>
      </c>
      <c r="D289" s="20" t="s">
        <v>384</v>
      </c>
      <c r="E289" s="20" t="s">
        <v>386</v>
      </c>
      <c r="F289" s="20" t="s">
        <v>401</v>
      </c>
      <c r="G289" s="33">
        <v>5</v>
      </c>
      <c r="H289" s="34">
        <f>VLOOKUP($C289,'Raw Cost'!$A$1:$B$484,2,FALSE)/G289</f>
        <v>2.8</v>
      </c>
      <c r="I289" s="34">
        <f t="shared" si="99"/>
        <v>0.17499999999999999</v>
      </c>
      <c r="J289" s="35">
        <v>6.25</v>
      </c>
      <c r="K289" s="35">
        <v>0.25</v>
      </c>
      <c r="L289" s="36">
        <f>VLOOKUP($F289,'Packaging Cost'!$A$1:$F$43,6,FALSE)</f>
        <v>2.6</v>
      </c>
      <c r="M289" s="37">
        <f>IF($E289="Snakpak",(($J289*H289)+($K289*'Labor Cost'!$A$2)+L289)+2.25,($J289*H289)+($K289*'Labor Cost'!$A$2)+L289+1)</f>
        <v>28.225000000000001</v>
      </c>
      <c r="N289" s="38">
        <f t="shared" si="100"/>
        <v>35.28125</v>
      </c>
      <c r="O289" s="38">
        <f t="shared" si="101"/>
        <v>36.692500000000003</v>
      </c>
      <c r="P289" s="38">
        <f t="shared" si="102"/>
        <v>38.103750000000005</v>
      </c>
      <c r="Q289" s="38">
        <f t="shared" si="103"/>
        <v>39.515000000000001</v>
      </c>
      <c r="R289" s="38">
        <f t="shared" si="104"/>
        <v>40.926250000000003</v>
      </c>
      <c r="S289" s="38">
        <f t="shared" si="105"/>
        <v>35.25</v>
      </c>
      <c r="T289" s="38">
        <f t="shared" si="106"/>
        <v>36.75</v>
      </c>
      <c r="U289" s="38">
        <f t="shared" si="107"/>
        <v>38</v>
      </c>
      <c r="V289" s="38">
        <f t="shared" si="108"/>
        <v>39.5</v>
      </c>
      <c r="W289" s="38">
        <f t="shared" si="109"/>
        <v>41</v>
      </c>
    </row>
    <row r="290" spans="1:23" ht="21" customHeight="1" x14ac:dyDescent="0.2">
      <c r="A290" s="19" t="s">
        <v>1275</v>
      </c>
      <c r="B290" s="19" t="s">
        <v>291</v>
      </c>
      <c r="C290" s="20" t="s">
        <v>1032</v>
      </c>
      <c r="D290" s="20" t="s">
        <v>385</v>
      </c>
      <c r="E290" s="20" t="s">
        <v>386</v>
      </c>
      <c r="F290" s="20" t="s">
        <v>401</v>
      </c>
      <c r="G290" s="33">
        <v>5</v>
      </c>
      <c r="H290" s="34">
        <f>VLOOKUP($C290,'Raw Cost'!$A$1:$B$484,2,FALSE)/G290</f>
        <v>6.4</v>
      </c>
      <c r="I290" s="34">
        <f t="shared" si="99"/>
        <v>0.4</v>
      </c>
      <c r="J290" s="35">
        <v>6.25</v>
      </c>
      <c r="K290" s="35">
        <v>0.35</v>
      </c>
      <c r="L290" s="36">
        <f>VLOOKUP($F290,'Packaging Cost'!$A$1:$F$43,6,FALSE)</f>
        <v>2.6</v>
      </c>
      <c r="M290" s="37">
        <f>IF($E290="Snakpak",(($J290*H290)+($K290*'Labor Cost'!$A$2)+L290)+2.25,($J290*H290)+($K290*'Labor Cost'!$A$2)+L290+1)</f>
        <v>53.075000000000003</v>
      </c>
      <c r="N290" s="38">
        <f t="shared" si="100"/>
        <v>82.34375</v>
      </c>
      <c r="O290" s="38">
        <f t="shared" si="101"/>
        <v>84.997500000000002</v>
      </c>
      <c r="P290" s="38">
        <f t="shared" si="102"/>
        <v>87.651250000000005</v>
      </c>
      <c r="Q290" s="38">
        <f t="shared" si="103"/>
        <v>90.304999999999993</v>
      </c>
      <c r="R290" s="38">
        <f t="shared" si="104"/>
        <v>92.958749999999995</v>
      </c>
      <c r="S290" s="38">
        <f t="shared" si="105"/>
        <v>82.25</v>
      </c>
      <c r="T290" s="38">
        <f t="shared" si="106"/>
        <v>85</v>
      </c>
      <c r="U290" s="38">
        <f t="shared" si="107"/>
        <v>87.75</v>
      </c>
      <c r="V290" s="38">
        <f t="shared" si="108"/>
        <v>90.25</v>
      </c>
      <c r="W290" s="38">
        <f t="shared" si="109"/>
        <v>93</v>
      </c>
    </row>
    <row r="291" spans="1:23" ht="21" customHeight="1" x14ac:dyDescent="0.2">
      <c r="A291" s="19" t="s">
        <v>1276</v>
      </c>
      <c r="B291" s="19" t="s">
        <v>291</v>
      </c>
      <c r="C291" s="20" t="s">
        <v>1032</v>
      </c>
      <c r="D291" s="20" t="s">
        <v>384</v>
      </c>
      <c r="E291" s="20" t="s">
        <v>386</v>
      </c>
      <c r="F291" s="20" t="s">
        <v>401</v>
      </c>
      <c r="G291" s="33">
        <v>5</v>
      </c>
      <c r="H291" s="34">
        <f>VLOOKUP($C291,'Raw Cost'!$A$1:$B$484,2,FALSE)/G291</f>
        <v>6.4</v>
      </c>
      <c r="I291" s="34">
        <f t="shared" si="99"/>
        <v>0.4</v>
      </c>
      <c r="J291" s="35">
        <v>6.25</v>
      </c>
      <c r="K291" s="35">
        <v>0.35</v>
      </c>
      <c r="L291" s="36">
        <f>VLOOKUP($F291,'Packaging Cost'!$A$1:$F$43,6,FALSE)</f>
        <v>2.6</v>
      </c>
      <c r="M291" s="37">
        <f>IF($E291="Snakpak",(($J291*H291)+($K291*'Labor Cost'!$A$2)+L291)+2.25,($J291*H291)+($K291*'Labor Cost'!$A$2)+L291+1)</f>
        <v>53.075000000000003</v>
      </c>
      <c r="N291" s="38">
        <f t="shared" si="100"/>
        <v>66.34375</v>
      </c>
      <c r="O291" s="38">
        <f t="shared" si="101"/>
        <v>68.997500000000002</v>
      </c>
      <c r="P291" s="38">
        <f t="shared" si="102"/>
        <v>71.651250000000005</v>
      </c>
      <c r="Q291" s="38">
        <f t="shared" si="103"/>
        <v>74.304999999999993</v>
      </c>
      <c r="R291" s="38">
        <f t="shared" si="104"/>
        <v>76.958749999999995</v>
      </c>
      <c r="S291" s="38">
        <f t="shared" si="105"/>
        <v>66.25</v>
      </c>
      <c r="T291" s="38">
        <f t="shared" si="106"/>
        <v>69</v>
      </c>
      <c r="U291" s="38">
        <f t="shared" si="107"/>
        <v>71.75</v>
      </c>
      <c r="V291" s="38">
        <f t="shared" si="108"/>
        <v>74.25</v>
      </c>
      <c r="W291" s="38">
        <f t="shared" si="109"/>
        <v>77</v>
      </c>
    </row>
    <row r="292" spans="1:23" ht="21" customHeight="1" x14ac:dyDescent="0.2">
      <c r="A292" s="19" t="s">
        <v>111</v>
      </c>
      <c r="B292" s="19" t="s">
        <v>267</v>
      </c>
      <c r="C292" s="20" t="s">
        <v>31</v>
      </c>
      <c r="D292" s="20" t="s">
        <v>384</v>
      </c>
      <c r="E292" s="20" t="s">
        <v>386</v>
      </c>
      <c r="F292" s="20" t="s">
        <v>401</v>
      </c>
      <c r="G292" s="33">
        <v>33</v>
      </c>
      <c r="H292" s="34">
        <f>VLOOKUP($C292,'Raw Cost'!$A$1:$B$484,2,FALSE)/G292</f>
        <v>1.2121212121212122</v>
      </c>
      <c r="I292" s="34">
        <f t="shared" si="99"/>
        <v>7.575757575757576E-2</v>
      </c>
      <c r="J292" s="35">
        <v>14.7</v>
      </c>
      <c r="K292" s="35">
        <v>0.25</v>
      </c>
      <c r="L292" s="36">
        <f>VLOOKUP($F292,'Packaging Cost'!$A$1:$F$43,6,FALSE)</f>
        <v>2.6</v>
      </c>
      <c r="M292" s="37">
        <f>IF($E292="Snakpak",(($J292*H292)+($K292*'Labor Cost'!$A$2)+L292)+2.25,($J292*H292)+($K292*'Labor Cost'!$A$2)+L292+1)</f>
        <v>28.543181818181818</v>
      </c>
      <c r="N292" s="38">
        <f t="shared" si="100"/>
        <v>35.678977272727273</v>
      </c>
      <c r="O292" s="38">
        <f t="shared" si="101"/>
        <v>37.106136363636367</v>
      </c>
      <c r="P292" s="38">
        <f t="shared" si="102"/>
        <v>38.53329545454546</v>
      </c>
      <c r="Q292" s="38">
        <f t="shared" si="103"/>
        <v>39.960454545454546</v>
      </c>
      <c r="R292" s="38">
        <f t="shared" si="104"/>
        <v>41.387613636363632</v>
      </c>
      <c r="S292" s="38">
        <f t="shared" si="105"/>
        <v>35.75</v>
      </c>
      <c r="T292" s="38">
        <f t="shared" si="106"/>
        <v>37</v>
      </c>
      <c r="U292" s="38">
        <f t="shared" si="107"/>
        <v>38.5</v>
      </c>
      <c r="V292" s="38">
        <f t="shared" si="108"/>
        <v>40</v>
      </c>
      <c r="W292" s="38">
        <f t="shared" si="109"/>
        <v>41.5</v>
      </c>
    </row>
    <row r="293" spans="1:23" ht="21" customHeight="1" x14ac:dyDescent="0.2">
      <c r="A293" s="19" t="s">
        <v>112</v>
      </c>
      <c r="B293" s="19" t="s">
        <v>268</v>
      </c>
      <c r="C293" s="20" t="s">
        <v>404</v>
      </c>
      <c r="D293" s="20" t="s">
        <v>384</v>
      </c>
      <c r="E293" s="20" t="s">
        <v>386</v>
      </c>
      <c r="F293" s="20" t="s">
        <v>401</v>
      </c>
      <c r="G293" s="33">
        <v>20</v>
      </c>
      <c r="H293" s="34">
        <f>VLOOKUP($C293,'Raw Cost'!$A$1:$B$484,2,FALSE)/G293</f>
        <v>3.1</v>
      </c>
      <c r="I293" s="34">
        <f t="shared" si="99"/>
        <v>0.19375000000000001</v>
      </c>
      <c r="J293" s="35">
        <v>6.25</v>
      </c>
      <c r="K293" s="35">
        <v>0.25</v>
      </c>
      <c r="L293" s="36">
        <f>VLOOKUP($F293,'Packaging Cost'!$A$1:$F$43,6,FALSE)</f>
        <v>2.6</v>
      </c>
      <c r="M293" s="37">
        <f>IF($E293="Snakpak",(($J293*H293)+($K293*'Labor Cost'!$A$2)+L293)+2.25,($J293*H293)+($K293*'Labor Cost'!$A$2)+L293+1)</f>
        <v>30.1</v>
      </c>
      <c r="N293" s="38">
        <f t="shared" si="100"/>
        <v>37.625</v>
      </c>
      <c r="O293" s="38">
        <f t="shared" si="101"/>
        <v>39.130000000000003</v>
      </c>
      <c r="P293" s="38">
        <f t="shared" si="102"/>
        <v>40.635000000000005</v>
      </c>
      <c r="Q293" s="38">
        <f t="shared" si="103"/>
        <v>42.14</v>
      </c>
      <c r="R293" s="38">
        <f t="shared" si="104"/>
        <v>43.645000000000003</v>
      </c>
      <c r="S293" s="38">
        <f t="shared" si="105"/>
        <v>37.75</v>
      </c>
      <c r="T293" s="38">
        <f t="shared" si="106"/>
        <v>39.25</v>
      </c>
      <c r="U293" s="38">
        <f t="shared" si="107"/>
        <v>40.75</v>
      </c>
      <c r="V293" s="38">
        <f t="shared" si="108"/>
        <v>42.25</v>
      </c>
      <c r="W293" s="38">
        <f t="shared" si="109"/>
        <v>43.75</v>
      </c>
    </row>
    <row r="294" spans="1:23" ht="21" customHeight="1" x14ac:dyDescent="0.2">
      <c r="A294" s="19" t="s">
        <v>1165</v>
      </c>
      <c r="B294" s="19" t="s">
        <v>259</v>
      </c>
      <c r="C294" s="20" t="s">
        <v>1164</v>
      </c>
      <c r="D294" s="20" t="s">
        <v>384</v>
      </c>
      <c r="E294" s="20" t="s">
        <v>386</v>
      </c>
      <c r="F294" s="20" t="s">
        <v>401</v>
      </c>
      <c r="G294" s="33">
        <v>2</v>
      </c>
      <c r="H294" s="34">
        <f>VLOOKUP($C294,'Raw Cost'!$A$1:$B$484,2,FALSE)/G294</f>
        <v>1.5625</v>
      </c>
      <c r="I294" s="34">
        <f t="shared" si="99"/>
        <v>9.765625E-2</v>
      </c>
      <c r="J294" s="35">
        <v>6.25</v>
      </c>
      <c r="K294" s="35">
        <v>0.25</v>
      </c>
      <c r="L294" s="36">
        <f>VLOOKUP($F294,'Packaging Cost'!$A$1:$F$43,6,FALSE)</f>
        <v>2.6</v>
      </c>
      <c r="M294" s="37">
        <f>IF($E294="Snakpak",(($J294*H294)+($K294*'Labor Cost'!$A$2)+L294)+2.25,($J294*H294)+($K294*'Labor Cost'!$A$2)+L294+1)</f>
        <v>20.490625000000001</v>
      </c>
      <c r="N294" s="38">
        <f t="shared" si="100"/>
        <v>25.61328125</v>
      </c>
      <c r="O294" s="38">
        <f t="shared" si="101"/>
        <v>26.637812500000003</v>
      </c>
      <c r="P294" s="38">
        <f t="shared" si="102"/>
        <v>27.662343750000005</v>
      </c>
      <c r="Q294" s="38">
        <f t="shared" si="103"/>
        <v>28.686875000000001</v>
      </c>
      <c r="R294" s="38">
        <f t="shared" si="104"/>
        <v>29.71140625</v>
      </c>
      <c r="S294" s="38">
        <f t="shared" si="105"/>
        <v>25.5</v>
      </c>
      <c r="T294" s="38">
        <f t="shared" si="106"/>
        <v>26.75</v>
      </c>
      <c r="U294" s="38">
        <f t="shared" si="107"/>
        <v>27.75</v>
      </c>
      <c r="V294" s="38">
        <f t="shared" si="108"/>
        <v>28.75</v>
      </c>
      <c r="W294" s="38">
        <f t="shared" si="109"/>
        <v>29.75</v>
      </c>
    </row>
    <row r="295" spans="1:23" ht="21" customHeight="1" x14ac:dyDescent="0.2">
      <c r="A295" s="19" t="s">
        <v>1282</v>
      </c>
      <c r="B295" s="19" t="s">
        <v>259</v>
      </c>
      <c r="C295" s="20" t="s">
        <v>1164</v>
      </c>
      <c r="D295" s="20" t="s">
        <v>385</v>
      </c>
      <c r="E295" s="20" t="s">
        <v>386</v>
      </c>
      <c r="F295" s="20" t="s">
        <v>401</v>
      </c>
      <c r="G295" s="33">
        <v>2</v>
      </c>
      <c r="H295" s="34">
        <f>VLOOKUP($C295,'Raw Cost'!$A$1:$B$484,2,FALSE)/G295</f>
        <v>1.5625</v>
      </c>
      <c r="I295" s="34">
        <f t="shared" si="99"/>
        <v>9.765625E-2</v>
      </c>
      <c r="J295" s="35">
        <v>6.25</v>
      </c>
      <c r="K295" s="35">
        <v>0.25</v>
      </c>
      <c r="L295" s="36">
        <f>VLOOKUP($F295,'Packaging Cost'!$A$1:$F$43,6,FALSE)</f>
        <v>2.6</v>
      </c>
      <c r="M295" s="37">
        <f>IF($E295="Snakpak",(($J295*H295)+($K295*'Labor Cost'!$A$2)+L295)+2.25,($J295*H295)+($K295*'Labor Cost'!$A$2)+L295+1)</f>
        <v>20.490625000000001</v>
      </c>
      <c r="N295" s="38">
        <f t="shared" si="100"/>
        <v>41.61328125</v>
      </c>
      <c r="O295" s="38">
        <f t="shared" si="101"/>
        <v>42.637812500000003</v>
      </c>
      <c r="P295" s="38">
        <f t="shared" si="102"/>
        <v>43.662343750000005</v>
      </c>
      <c r="Q295" s="38">
        <f t="shared" si="103"/>
        <v>44.686875000000001</v>
      </c>
      <c r="R295" s="38">
        <f t="shared" si="104"/>
        <v>45.711406249999996</v>
      </c>
      <c r="S295" s="38">
        <f t="shared" si="105"/>
        <v>41.5</v>
      </c>
      <c r="T295" s="38">
        <f t="shared" si="106"/>
        <v>42.75</v>
      </c>
      <c r="U295" s="38">
        <f t="shared" si="107"/>
        <v>43.75</v>
      </c>
      <c r="V295" s="38">
        <f t="shared" si="108"/>
        <v>44.75</v>
      </c>
      <c r="W295" s="38">
        <f t="shared" si="109"/>
        <v>45.75</v>
      </c>
    </row>
    <row r="296" spans="1:23" ht="21" customHeight="1" x14ac:dyDescent="0.2">
      <c r="A296" s="19" t="s">
        <v>1264</v>
      </c>
      <c r="B296" s="19" t="s">
        <v>259</v>
      </c>
      <c r="C296" s="20" t="s">
        <v>33</v>
      </c>
      <c r="D296" s="20" t="s">
        <v>384</v>
      </c>
      <c r="E296" s="20" t="s">
        <v>386</v>
      </c>
      <c r="F296" s="20" t="s">
        <v>401</v>
      </c>
      <c r="G296" s="33">
        <v>18</v>
      </c>
      <c r="H296" s="34">
        <f>VLOOKUP($C296,'Raw Cost'!$A$1:$B$484,2,FALSE)/G296</f>
        <v>2.1111111111111112</v>
      </c>
      <c r="I296" s="34">
        <f t="shared" si="99"/>
        <v>0.13194444444444445</v>
      </c>
      <c r="J296" s="35">
        <v>6.25</v>
      </c>
      <c r="K296" s="35">
        <v>0.25</v>
      </c>
      <c r="L296" s="36">
        <f>VLOOKUP($F296,'Packaging Cost'!$A$1:$F$43,6,FALSE)</f>
        <v>2.6</v>
      </c>
      <c r="M296" s="37">
        <f>IF($E296="Snakpak",(($J296*H296)+($K296*'Labor Cost'!$A$2)+L296)+2.25,($J296*H296)+($K296*'Labor Cost'!$A$2)+L296+1)</f>
        <v>23.919444444444444</v>
      </c>
      <c r="N296" s="38">
        <f t="shared" si="100"/>
        <v>29.899305555555557</v>
      </c>
      <c r="O296" s="38">
        <f t="shared" si="101"/>
        <v>31.095277777777778</v>
      </c>
      <c r="P296" s="38">
        <f t="shared" si="102"/>
        <v>32.291250000000005</v>
      </c>
      <c r="Q296" s="38">
        <f t="shared" si="103"/>
        <v>33.487222222222222</v>
      </c>
      <c r="R296" s="38">
        <f t="shared" si="104"/>
        <v>34.683194444444446</v>
      </c>
      <c r="S296" s="38">
        <f t="shared" si="105"/>
        <v>30</v>
      </c>
      <c r="T296" s="38">
        <f t="shared" si="106"/>
        <v>31</v>
      </c>
      <c r="U296" s="38">
        <f t="shared" si="107"/>
        <v>32.25</v>
      </c>
      <c r="V296" s="38">
        <f t="shared" si="108"/>
        <v>33.5</v>
      </c>
      <c r="W296" s="38">
        <f t="shared" si="109"/>
        <v>34.75</v>
      </c>
    </row>
    <row r="297" spans="1:23" ht="21" customHeight="1" x14ac:dyDescent="0.2">
      <c r="A297" s="19" t="s">
        <v>1281</v>
      </c>
      <c r="B297" s="19" t="s">
        <v>259</v>
      </c>
      <c r="C297" s="20" t="s">
        <v>33</v>
      </c>
      <c r="D297" s="20" t="s">
        <v>1253</v>
      </c>
      <c r="E297" s="20" t="s">
        <v>386</v>
      </c>
      <c r="F297" s="20" t="s">
        <v>401</v>
      </c>
      <c r="G297" s="33">
        <v>18</v>
      </c>
      <c r="H297" s="34">
        <f>VLOOKUP($C297,'Raw Cost'!$A$1:$B$484,2,FALSE)/G297</f>
        <v>2.1111111111111112</v>
      </c>
      <c r="I297" s="34">
        <f t="shared" si="99"/>
        <v>0.13194444444444445</v>
      </c>
      <c r="J297" s="35">
        <v>6.25</v>
      </c>
      <c r="K297" s="35">
        <v>0.25</v>
      </c>
      <c r="L297" s="36">
        <f>VLOOKUP($F297,'Packaging Cost'!$A$1:$F$43,6,FALSE)</f>
        <v>2.6</v>
      </c>
      <c r="M297" s="37">
        <f>IF($E297="Snakpak",(($J297*H297)+($K297*'Labor Cost'!$A$2)+L297)+2.25,($J297*H297)+($K297*'Labor Cost'!$A$2)+L297+1)</f>
        <v>23.919444444444444</v>
      </c>
      <c r="N297" s="38">
        <f t="shared" si="100"/>
        <v>45.899305555555557</v>
      </c>
      <c r="O297" s="38">
        <f t="shared" si="101"/>
        <v>47.095277777777781</v>
      </c>
      <c r="P297" s="38">
        <f t="shared" si="102"/>
        <v>48.291250000000005</v>
      </c>
      <c r="Q297" s="38">
        <f t="shared" si="103"/>
        <v>49.487222222222222</v>
      </c>
      <c r="R297" s="38">
        <f t="shared" si="104"/>
        <v>50.683194444444446</v>
      </c>
      <c r="S297" s="38">
        <f t="shared" si="105"/>
        <v>46</v>
      </c>
      <c r="T297" s="38">
        <f t="shared" si="106"/>
        <v>47</v>
      </c>
      <c r="U297" s="38">
        <f t="shared" si="107"/>
        <v>48.25</v>
      </c>
      <c r="V297" s="38">
        <f t="shared" si="108"/>
        <v>49.5</v>
      </c>
      <c r="W297" s="38">
        <f t="shared" si="109"/>
        <v>50.75</v>
      </c>
    </row>
    <row r="298" spans="1:23" ht="21" customHeight="1" x14ac:dyDescent="0.2">
      <c r="A298" s="19" t="s">
        <v>1234</v>
      </c>
      <c r="B298" s="19" t="s">
        <v>274</v>
      </c>
      <c r="C298" s="20" t="s">
        <v>1200</v>
      </c>
      <c r="D298" s="20" t="s">
        <v>384</v>
      </c>
      <c r="E298" s="20" t="s">
        <v>386</v>
      </c>
      <c r="F298" s="20" t="s">
        <v>617</v>
      </c>
      <c r="G298" s="33">
        <v>2</v>
      </c>
      <c r="H298" s="34">
        <f>VLOOKUP($C298,'Raw Cost'!$A$1:$B$484,2,FALSE)/G298</f>
        <v>1.7001915708812261</v>
      </c>
      <c r="I298" s="34">
        <f t="shared" si="99"/>
        <v>0.10626197318007663</v>
      </c>
      <c r="J298" s="35">
        <v>7.13</v>
      </c>
      <c r="K298" s="35">
        <v>0.27</v>
      </c>
      <c r="L298" s="36">
        <f>VLOOKUP($F298,'Packaging Cost'!$A$1:$F$43,6,FALSE)</f>
        <v>4.0999999999999996</v>
      </c>
      <c r="M298" s="37">
        <f>IF($E298="Snakpak",(($J298*H298)+($K298*'Labor Cost'!$A$2)+L298)+2.25,($J298*H298)+($K298*'Labor Cost'!$A$2)+L298+1)</f>
        <v>24.817365900383145</v>
      </c>
      <c r="N298" s="38">
        <f t="shared" si="100"/>
        <v>31.021707375478933</v>
      </c>
      <c r="O298" s="38">
        <f t="shared" si="101"/>
        <v>32.262575670498087</v>
      </c>
      <c r="P298" s="38">
        <f t="shared" si="102"/>
        <v>33.503443965517249</v>
      </c>
      <c r="Q298" s="38">
        <f t="shared" si="103"/>
        <v>34.744312260536397</v>
      </c>
      <c r="R298" s="38">
        <f t="shared" si="104"/>
        <v>35.985180555555559</v>
      </c>
      <c r="S298" s="38">
        <f t="shared" si="105"/>
        <v>31</v>
      </c>
      <c r="T298" s="38">
        <f t="shared" si="106"/>
        <v>32.25</v>
      </c>
      <c r="U298" s="38">
        <f t="shared" si="107"/>
        <v>33.5</v>
      </c>
      <c r="V298" s="38">
        <f t="shared" si="108"/>
        <v>34.75</v>
      </c>
      <c r="W298" s="38">
        <f t="shared" si="109"/>
        <v>36</v>
      </c>
    </row>
    <row r="299" spans="1:23" ht="21" customHeight="1" x14ac:dyDescent="0.2">
      <c r="A299" s="19" t="s">
        <v>115</v>
      </c>
      <c r="B299" s="19" t="s">
        <v>273</v>
      </c>
      <c r="C299" s="20" t="s">
        <v>35</v>
      </c>
      <c r="D299" s="20" t="s">
        <v>384</v>
      </c>
      <c r="E299" s="20" t="s">
        <v>386</v>
      </c>
      <c r="F299" s="20" t="s">
        <v>618</v>
      </c>
      <c r="G299" s="33">
        <v>32</v>
      </c>
      <c r="H299" s="34">
        <f>VLOOKUP($C299,'Raw Cost'!$A$1:$B$484,2,FALSE)/G299</f>
        <v>1.21875</v>
      </c>
      <c r="I299" s="34">
        <f t="shared" ref="I299:I330" si="110">H299/16</f>
        <v>7.6171875E-2</v>
      </c>
      <c r="J299" s="35">
        <v>12.5</v>
      </c>
      <c r="K299" s="35">
        <v>0.25</v>
      </c>
      <c r="L299" s="36">
        <f>VLOOKUP($F299,'Packaging Cost'!$A$1:$F$43,6,FALSE)</f>
        <v>7.35</v>
      </c>
      <c r="M299" s="37">
        <f>IF($E299="Snakpak",(($J299*H299)+($K299*'Labor Cost'!$A$2)+L299)+2.25,($J299*H299)+($K299*'Labor Cost'!$A$2)+L299+1)</f>
        <v>30.709375000000001</v>
      </c>
      <c r="N299" s="38">
        <f t="shared" ref="N299:N330" si="111">IF($D299="No",$M299*1.25,($M299*1.25)+16)</f>
        <v>38.38671875</v>
      </c>
      <c r="O299" s="38">
        <f t="shared" ref="O299:O330" si="112">IF($D299="No",$M299*1.3,($M299*1.3)+16)</f>
        <v>39.9221875</v>
      </c>
      <c r="P299" s="38">
        <f t="shared" ref="P299:P330" si="113">IF($D299="No",$M299*1.35,($M299*1.35)+16)</f>
        <v>41.457656250000007</v>
      </c>
      <c r="Q299" s="38">
        <f t="shared" ref="Q299:Q330" si="114">IF($D299="No",$M299*1.4,($M299*1.4)+16)</f>
        <v>42.993124999999999</v>
      </c>
      <c r="R299" s="38">
        <f t="shared" ref="R299:R330" si="115">IF($D299="No",$M299*1.45,($M299*1.45)+16)</f>
        <v>44.528593749999999</v>
      </c>
      <c r="S299" s="38">
        <f t="shared" ref="S299:S330" si="116">MROUND(N299,0.25)</f>
        <v>38.5</v>
      </c>
      <c r="T299" s="38">
        <f t="shared" ref="T299:T330" si="117">MROUND(O299,0.25)</f>
        <v>40</v>
      </c>
      <c r="U299" s="38">
        <f t="shared" ref="U299:U330" si="118">MROUND(P299,0.25)</f>
        <v>41.5</v>
      </c>
      <c r="V299" s="38">
        <f t="shared" ref="V299:V330" si="119">MROUND(Q299,0.25)</f>
        <v>43</v>
      </c>
      <c r="W299" s="38">
        <f t="shared" ref="W299:W330" si="120">MROUND(R299,0.25)</f>
        <v>44.5</v>
      </c>
    </row>
    <row r="300" spans="1:23" ht="21" customHeight="1" x14ac:dyDescent="0.2">
      <c r="A300" s="19" t="s">
        <v>116</v>
      </c>
      <c r="B300" s="19" t="s">
        <v>274</v>
      </c>
      <c r="C300" s="20" t="s">
        <v>35</v>
      </c>
      <c r="D300" s="20" t="s">
        <v>384</v>
      </c>
      <c r="E300" s="20" t="s">
        <v>386</v>
      </c>
      <c r="F300" s="20" t="s">
        <v>617</v>
      </c>
      <c r="G300" s="33">
        <v>32</v>
      </c>
      <c r="H300" s="34">
        <f>VLOOKUP($C300,'Raw Cost'!$A$1:$B$484,2,FALSE)/G300</f>
        <v>1.21875</v>
      </c>
      <c r="I300" s="34">
        <f t="shared" si="110"/>
        <v>7.6171875E-2</v>
      </c>
      <c r="J300" s="35">
        <v>6.25</v>
      </c>
      <c r="K300" s="35">
        <v>0.27</v>
      </c>
      <c r="L300" s="36">
        <f>VLOOKUP($F300,'Packaging Cost'!$A$1:$F$43,6,FALSE)</f>
        <v>4.0999999999999996</v>
      </c>
      <c r="M300" s="37">
        <f>IF($E300="Snakpak",(($J300*H300)+($K300*'Labor Cost'!$A$2)+L300)+2.25,($J300*H300)+($K300*'Labor Cost'!$A$2)+L300+1)</f>
        <v>20.3121875</v>
      </c>
      <c r="N300" s="38">
        <f t="shared" si="111"/>
        <v>25.390234374999999</v>
      </c>
      <c r="O300" s="38">
        <f t="shared" si="112"/>
        <v>26.405843750000003</v>
      </c>
      <c r="P300" s="38">
        <f t="shared" si="113"/>
        <v>27.421453125000003</v>
      </c>
      <c r="Q300" s="38">
        <f t="shared" si="114"/>
        <v>28.4370625</v>
      </c>
      <c r="R300" s="38">
        <f t="shared" si="115"/>
        <v>29.452671875</v>
      </c>
      <c r="S300" s="38">
        <f t="shared" si="116"/>
        <v>25.5</v>
      </c>
      <c r="T300" s="38">
        <f t="shared" si="117"/>
        <v>26.5</v>
      </c>
      <c r="U300" s="38">
        <f t="shared" si="118"/>
        <v>27.5</v>
      </c>
      <c r="V300" s="38">
        <f t="shared" si="119"/>
        <v>28.5</v>
      </c>
      <c r="W300" s="38">
        <f t="shared" si="120"/>
        <v>29.5</v>
      </c>
    </row>
    <row r="301" spans="1:23" ht="21" customHeight="1" x14ac:dyDescent="0.2">
      <c r="A301" s="19" t="s">
        <v>1283</v>
      </c>
      <c r="B301" s="19" t="s">
        <v>292</v>
      </c>
      <c r="C301" s="20" t="s">
        <v>589</v>
      </c>
      <c r="D301" s="20" t="s">
        <v>385</v>
      </c>
      <c r="E301" s="20" t="s">
        <v>386</v>
      </c>
      <c r="F301" s="20" t="s">
        <v>401</v>
      </c>
      <c r="G301" s="33">
        <v>15</v>
      </c>
      <c r="H301" s="34">
        <f>VLOOKUP($C301,'Raw Cost'!$A$1:$B$484,2,FALSE)/G301</f>
        <v>1.588235294117647</v>
      </c>
      <c r="I301" s="34">
        <f t="shared" si="110"/>
        <v>9.9264705882352935E-2</v>
      </c>
      <c r="J301" s="35">
        <v>6.25</v>
      </c>
      <c r="K301" s="35">
        <v>0.3</v>
      </c>
      <c r="L301" s="36">
        <f>VLOOKUP($F301,'Packaging Cost'!$A$1:$F$43,6,FALSE)</f>
        <v>2.6</v>
      </c>
      <c r="M301" s="37">
        <f>IF($E301="Snakpak",(($J301*H301)+($K301*'Labor Cost'!$A$2)+L301)+2.25,($J301*H301)+($K301*'Labor Cost'!$A$2)+L301+1)</f>
        <v>21.826470588235296</v>
      </c>
      <c r="N301" s="38">
        <f t="shared" si="111"/>
        <v>43.283088235294116</v>
      </c>
      <c r="O301" s="38">
        <f t="shared" si="112"/>
        <v>44.374411764705883</v>
      </c>
      <c r="P301" s="38">
        <f t="shared" si="113"/>
        <v>45.46573529411765</v>
      </c>
      <c r="Q301" s="38">
        <f t="shared" si="114"/>
        <v>46.557058823529417</v>
      </c>
      <c r="R301" s="38">
        <f t="shared" si="115"/>
        <v>47.648382352941177</v>
      </c>
      <c r="S301" s="38">
        <f t="shared" si="116"/>
        <v>43.25</v>
      </c>
      <c r="T301" s="38">
        <f t="shared" si="117"/>
        <v>44.25</v>
      </c>
      <c r="U301" s="38">
        <f t="shared" si="118"/>
        <v>45.5</v>
      </c>
      <c r="V301" s="38">
        <f t="shared" si="119"/>
        <v>46.5</v>
      </c>
      <c r="W301" s="38">
        <f t="shared" si="120"/>
        <v>47.75</v>
      </c>
    </row>
    <row r="302" spans="1:23" ht="21" customHeight="1" x14ac:dyDescent="0.2">
      <c r="A302" s="19" t="s">
        <v>130</v>
      </c>
      <c r="B302" s="19" t="s">
        <v>292</v>
      </c>
      <c r="C302" s="20" t="s">
        <v>589</v>
      </c>
      <c r="D302" s="20" t="s">
        <v>384</v>
      </c>
      <c r="E302" s="20" t="s">
        <v>386</v>
      </c>
      <c r="F302" s="20" t="s">
        <v>401</v>
      </c>
      <c r="G302" s="33">
        <v>15</v>
      </c>
      <c r="H302" s="34">
        <f>VLOOKUP($C302,'Raw Cost'!$A$1:$B$484,2,FALSE)/G302</f>
        <v>1.588235294117647</v>
      </c>
      <c r="I302" s="34">
        <f t="shared" si="110"/>
        <v>9.9264705882352935E-2</v>
      </c>
      <c r="J302" s="35">
        <v>6.25</v>
      </c>
      <c r="K302" s="35">
        <v>0.3</v>
      </c>
      <c r="L302" s="36">
        <f>VLOOKUP($F302,'Packaging Cost'!$A$1:$F$43,6,FALSE)</f>
        <v>2.6</v>
      </c>
      <c r="M302" s="37">
        <f>IF($E302="Snakpak",(($J302*H302)+($K302*'Labor Cost'!$A$2)+L302)+2.25,($J302*H302)+($K302*'Labor Cost'!$A$2)+L302+1)</f>
        <v>21.826470588235296</v>
      </c>
      <c r="N302" s="38">
        <f t="shared" si="111"/>
        <v>27.28308823529412</v>
      </c>
      <c r="O302" s="38">
        <f t="shared" si="112"/>
        <v>28.374411764705886</v>
      </c>
      <c r="P302" s="38">
        <f t="shared" si="113"/>
        <v>29.46573529411765</v>
      </c>
      <c r="Q302" s="38">
        <f t="shared" si="114"/>
        <v>30.557058823529413</v>
      </c>
      <c r="R302" s="38">
        <f t="shared" si="115"/>
        <v>31.648382352941177</v>
      </c>
      <c r="S302" s="38">
        <f t="shared" si="116"/>
        <v>27.25</v>
      </c>
      <c r="T302" s="38">
        <f t="shared" si="117"/>
        <v>28.25</v>
      </c>
      <c r="U302" s="38">
        <f t="shared" si="118"/>
        <v>29.5</v>
      </c>
      <c r="V302" s="38">
        <f t="shared" si="119"/>
        <v>30.5</v>
      </c>
      <c r="W302" s="38">
        <f t="shared" si="120"/>
        <v>31.75</v>
      </c>
    </row>
    <row r="303" spans="1:23" ht="21" customHeight="1" x14ac:dyDescent="0.2">
      <c r="A303" s="19" t="s">
        <v>129</v>
      </c>
      <c r="B303" s="19" t="s">
        <v>291</v>
      </c>
      <c r="C303" s="20" t="s">
        <v>36</v>
      </c>
      <c r="D303" s="20" t="s">
        <v>384</v>
      </c>
      <c r="E303" s="20" t="s">
        <v>386</v>
      </c>
      <c r="F303" s="20" t="s">
        <v>401</v>
      </c>
      <c r="G303" s="33">
        <v>18</v>
      </c>
      <c r="H303" s="34">
        <f>VLOOKUP($C303,'Raw Cost'!$A$1:$B$484,2,FALSE)/G303</f>
        <v>2.5555555555555554</v>
      </c>
      <c r="I303" s="34">
        <f t="shared" si="110"/>
        <v>0.15972222222222221</v>
      </c>
      <c r="J303" s="35">
        <v>12.5</v>
      </c>
      <c r="K303" s="35">
        <v>0.35</v>
      </c>
      <c r="L303" s="36">
        <f>VLOOKUP($F303,'Packaging Cost'!$A$1:$F$43,6,FALSE)</f>
        <v>2.6</v>
      </c>
      <c r="M303" s="37">
        <f>IF($E303="Snakpak",(($J303*H303)+($K303*'Labor Cost'!$A$2)+L303)+2.25,($J303*H303)+($K303*'Labor Cost'!$A$2)+L303+1)</f>
        <v>45.019444444444446</v>
      </c>
      <c r="N303" s="38">
        <f t="shared" si="111"/>
        <v>56.274305555555557</v>
      </c>
      <c r="O303" s="38">
        <f t="shared" si="112"/>
        <v>58.525277777777781</v>
      </c>
      <c r="P303" s="38">
        <f t="shared" si="113"/>
        <v>60.776250000000005</v>
      </c>
      <c r="Q303" s="38">
        <f t="shared" si="114"/>
        <v>63.027222222222221</v>
      </c>
      <c r="R303" s="38">
        <f t="shared" si="115"/>
        <v>65.278194444444438</v>
      </c>
      <c r="S303" s="38">
        <f t="shared" si="116"/>
        <v>56.25</v>
      </c>
      <c r="T303" s="38">
        <f t="shared" si="117"/>
        <v>58.5</v>
      </c>
      <c r="U303" s="38">
        <f t="shared" si="118"/>
        <v>60.75</v>
      </c>
      <c r="V303" s="38">
        <f t="shared" si="119"/>
        <v>63</v>
      </c>
      <c r="W303" s="38">
        <f t="shared" si="120"/>
        <v>65.25</v>
      </c>
    </row>
    <row r="304" spans="1:23" ht="21" customHeight="1" x14ac:dyDescent="0.2">
      <c r="A304" s="19" t="s">
        <v>1284</v>
      </c>
      <c r="B304" s="19" t="s">
        <v>291</v>
      </c>
      <c r="C304" s="20" t="s">
        <v>36</v>
      </c>
      <c r="D304" s="20" t="s">
        <v>385</v>
      </c>
      <c r="E304" s="20" t="s">
        <v>386</v>
      </c>
      <c r="F304" s="20" t="s">
        <v>401</v>
      </c>
      <c r="G304" s="33">
        <v>18</v>
      </c>
      <c r="H304" s="34">
        <f>VLOOKUP($C304,'Raw Cost'!$A$1:$B$484,2,FALSE)/G304</f>
        <v>2.5555555555555554</v>
      </c>
      <c r="I304" s="34">
        <f t="shared" si="110"/>
        <v>0.15972222222222221</v>
      </c>
      <c r="J304" s="35">
        <v>12.5</v>
      </c>
      <c r="K304" s="35">
        <v>0.35</v>
      </c>
      <c r="L304" s="36">
        <f>VLOOKUP($F304,'Packaging Cost'!$A$1:$F$43,6,FALSE)</f>
        <v>2.6</v>
      </c>
      <c r="M304" s="37">
        <f>IF($E304="Snakpak",(($J304*H304)+($K304*'Labor Cost'!$A$2)+L304)+2.25,($J304*H304)+($K304*'Labor Cost'!$A$2)+L304+1)</f>
        <v>45.019444444444446</v>
      </c>
      <c r="N304" s="38">
        <f t="shared" si="111"/>
        <v>72.274305555555557</v>
      </c>
      <c r="O304" s="38">
        <f t="shared" si="112"/>
        <v>74.525277777777774</v>
      </c>
      <c r="P304" s="38">
        <f t="shared" si="113"/>
        <v>76.776250000000005</v>
      </c>
      <c r="Q304" s="38">
        <f t="shared" si="114"/>
        <v>79.027222222222221</v>
      </c>
      <c r="R304" s="38">
        <f t="shared" si="115"/>
        <v>81.278194444444438</v>
      </c>
      <c r="S304" s="38">
        <f t="shared" si="116"/>
        <v>72.25</v>
      </c>
      <c r="T304" s="38">
        <f t="shared" si="117"/>
        <v>74.5</v>
      </c>
      <c r="U304" s="38">
        <f t="shared" si="118"/>
        <v>76.75</v>
      </c>
      <c r="V304" s="38">
        <f t="shared" si="119"/>
        <v>79</v>
      </c>
      <c r="W304" s="38">
        <f t="shared" si="120"/>
        <v>81.25</v>
      </c>
    </row>
    <row r="305" spans="1:23" ht="21" customHeight="1" x14ac:dyDescent="0.2">
      <c r="A305" s="19" t="s">
        <v>489</v>
      </c>
      <c r="B305" s="19" t="s">
        <v>290</v>
      </c>
      <c r="C305" s="32" t="s">
        <v>39</v>
      </c>
      <c r="D305" s="32" t="s">
        <v>384</v>
      </c>
      <c r="E305" s="20" t="s">
        <v>386</v>
      </c>
      <c r="F305" s="20" t="s">
        <v>401</v>
      </c>
      <c r="G305" s="33">
        <v>9.5</v>
      </c>
      <c r="H305" s="34">
        <f>VLOOKUP($C305,'Raw Cost'!$A$1:$B$484,2,FALSE)/G305</f>
        <v>1.8947368421052631</v>
      </c>
      <c r="I305" s="34">
        <f t="shared" si="110"/>
        <v>0.11842105263157894</v>
      </c>
      <c r="J305" s="35">
        <v>7.18</v>
      </c>
      <c r="K305" s="35">
        <v>0.25</v>
      </c>
      <c r="L305" s="36">
        <f>VLOOKUP($F305,'Packaging Cost'!$A$1:$F$43,6,FALSE)</f>
        <v>2.6</v>
      </c>
      <c r="M305" s="37">
        <f>IF($E305="Snakpak",(($J305*H305)+($K305*'Labor Cost'!$A$2)+L305)+2.25,($J305*H305)+($K305*'Labor Cost'!$A$2)+L305+1)</f>
        <v>24.329210526315791</v>
      </c>
      <c r="N305" s="38">
        <f t="shared" si="111"/>
        <v>30.411513157894738</v>
      </c>
      <c r="O305" s="38">
        <f t="shared" si="112"/>
        <v>31.627973684210531</v>
      </c>
      <c r="P305" s="38">
        <f t="shared" si="113"/>
        <v>32.844434210526323</v>
      </c>
      <c r="Q305" s="38">
        <f t="shared" si="114"/>
        <v>34.060894736842101</v>
      </c>
      <c r="R305" s="38">
        <f t="shared" si="115"/>
        <v>35.277355263157894</v>
      </c>
      <c r="S305" s="38">
        <f t="shared" si="116"/>
        <v>30.5</v>
      </c>
      <c r="T305" s="38">
        <f t="shared" si="117"/>
        <v>31.75</v>
      </c>
      <c r="U305" s="38">
        <f t="shared" si="118"/>
        <v>32.75</v>
      </c>
      <c r="V305" s="38">
        <f t="shared" si="119"/>
        <v>34</v>
      </c>
      <c r="W305" s="38">
        <f t="shared" si="120"/>
        <v>35.25</v>
      </c>
    </row>
    <row r="306" spans="1:23" ht="21" customHeight="1" x14ac:dyDescent="0.2">
      <c r="A306" s="19" t="s">
        <v>1051</v>
      </c>
      <c r="B306" s="19" t="s">
        <v>290</v>
      </c>
      <c r="C306" s="32" t="s">
        <v>1040</v>
      </c>
      <c r="D306" s="32" t="s">
        <v>384</v>
      </c>
      <c r="E306" s="20" t="s">
        <v>386</v>
      </c>
      <c r="F306" s="20" t="s">
        <v>401</v>
      </c>
      <c r="G306" s="33">
        <v>8.5</v>
      </c>
      <c r="H306" s="34">
        <f>VLOOKUP($C306,'Raw Cost'!$A$1:$B$484,2,FALSE)/G306</f>
        <v>0</v>
      </c>
      <c r="I306" s="34">
        <f t="shared" si="110"/>
        <v>0</v>
      </c>
      <c r="J306" s="35">
        <v>7.18</v>
      </c>
      <c r="K306" s="35">
        <v>0.25</v>
      </c>
      <c r="L306" s="36">
        <f>VLOOKUP($F306,'Packaging Cost'!$A$1:$F$43,6,FALSE)</f>
        <v>2.6</v>
      </c>
      <c r="M306" s="37">
        <f>IF($E306="Snakpak",(($J306*H306)+($K306*'Labor Cost'!$A$2)+L306)+2.25,($J306*H306)+($K306*'Labor Cost'!$A$2)+L306+1)</f>
        <v>10.725</v>
      </c>
      <c r="N306" s="38">
        <f t="shared" si="111"/>
        <v>13.40625</v>
      </c>
      <c r="O306" s="38">
        <f t="shared" si="112"/>
        <v>13.942500000000001</v>
      </c>
      <c r="P306" s="38">
        <f t="shared" si="113"/>
        <v>14.47875</v>
      </c>
      <c r="Q306" s="38">
        <f t="shared" si="114"/>
        <v>15.014999999999999</v>
      </c>
      <c r="R306" s="38">
        <f t="shared" si="115"/>
        <v>15.55125</v>
      </c>
      <c r="S306" s="38">
        <f t="shared" si="116"/>
        <v>13.5</v>
      </c>
      <c r="T306" s="38">
        <f t="shared" si="117"/>
        <v>14</v>
      </c>
      <c r="U306" s="38">
        <f t="shared" si="118"/>
        <v>14.5</v>
      </c>
      <c r="V306" s="38">
        <f t="shared" si="119"/>
        <v>15</v>
      </c>
      <c r="W306" s="38">
        <f t="shared" si="120"/>
        <v>15.5</v>
      </c>
    </row>
    <row r="307" spans="1:23" ht="21" customHeight="1" x14ac:dyDescent="0.2">
      <c r="A307" s="19" t="s">
        <v>131</v>
      </c>
      <c r="B307" s="19" t="s">
        <v>293</v>
      </c>
      <c r="C307" s="20" t="s">
        <v>48</v>
      </c>
      <c r="D307" s="20" t="s">
        <v>384</v>
      </c>
      <c r="E307" s="20" t="s">
        <v>386</v>
      </c>
      <c r="F307" s="20" t="s">
        <v>401</v>
      </c>
      <c r="G307" s="33">
        <v>39</v>
      </c>
      <c r="H307" s="34">
        <f>VLOOKUP($C307,'Raw Cost'!$A$1:$B$484,2,FALSE)/G307</f>
        <v>0.87179487179487181</v>
      </c>
      <c r="I307" s="34">
        <f t="shared" si="110"/>
        <v>5.4487179487179488E-2</v>
      </c>
      <c r="J307" s="35">
        <v>6.25</v>
      </c>
      <c r="K307" s="35">
        <v>0.27</v>
      </c>
      <c r="L307" s="36">
        <f>VLOOKUP($F307,'Packaging Cost'!$A$1:$F$43,6,FALSE)</f>
        <v>2.6</v>
      </c>
      <c r="M307" s="37">
        <f>IF($E307="Snakpak",(($J307*H307)+($K307*'Labor Cost'!$A$2)+L307)+2.25,($J307*H307)+($K307*'Labor Cost'!$A$2)+L307+1)</f>
        <v>16.643717948717949</v>
      </c>
      <c r="N307" s="38">
        <f t="shared" si="111"/>
        <v>20.804647435897436</v>
      </c>
      <c r="O307" s="38">
        <f t="shared" si="112"/>
        <v>21.636833333333335</v>
      </c>
      <c r="P307" s="38">
        <f t="shared" si="113"/>
        <v>22.469019230769234</v>
      </c>
      <c r="Q307" s="38">
        <f t="shared" si="114"/>
        <v>23.301205128205126</v>
      </c>
      <c r="R307" s="38">
        <f t="shared" si="115"/>
        <v>24.133391025641025</v>
      </c>
      <c r="S307" s="38">
        <f t="shared" si="116"/>
        <v>20.75</v>
      </c>
      <c r="T307" s="38">
        <f t="shared" si="117"/>
        <v>21.75</v>
      </c>
      <c r="U307" s="38">
        <f t="shared" si="118"/>
        <v>22.5</v>
      </c>
      <c r="V307" s="38">
        <f t="shared" si="119"/>
        <v>23.25</v>
      </c>
      <c r="W307" s="38">
        <f t="shared" si="120"/>
        <v>24.25</v>
      </c>
    </row>
    <row r="308" spans="1:23" ht="21" customHeight="1" x14ac:dyDescent="0.2">
      <c r="A308" s="19" t="s">
        <v>132</v>
      </c>
      <c r="B308" s="19" t="s">
        <v>294</v>
      </c>
      <c r="C308" s="20" t="s">
        <v>48</v>
      </c>
      <c r="D308" s="20" t="s">
        <v>385</v>
      </c>
      <c r="E308" s="20" t="s">
        <v>386</v>
      </c>
      <c r="F308" s="20" t="s">
        <v>401</v>
      </c>
      <c r="G308" s="33">
        <v>39</v>
      </c>
      <c r="H308" s="34">
        <f>VLOOKUP($C308,'Raw Cost'!$A$1:$B$484,2,FALSE)/G308</f>
        <v>0.87179487179487181</v>
      </c>
      <c r="I308" s="34">
        <f t="shared" si="110"/>
        <v>5.4487179487179488E-2</v>
      </c>
      <c r="J308" s="35">
        <v>6.25</v>
      </c>
      <c r="K308" s="35">
        <v>0.25</v>
      </c>
      <c r="L308" s="36">
        <f>VLOOKUP($F308,'Packaging Cost'!$A$1:$F$43,6,FALSE)</f>
        <v>2.6</v>
      </c>
      <c r="M308" s="37">
        <f>IF($E308="Snakpak",(($J308*H308)+($K308*'Labor Cost'!$A$2)+L308)+2.25,($J308*H308)+($K308*'Labor Cost'!$A$2)+L308+1)</f>
        <v>16.17371794871795</v>
      </c>
      <c r="N308" s="38">
        <f t="shared" si="111"/>
        <v>36.217147435897438</v>
      </c>
      <c r="O308" s="38">
        <f t="shared" si="112"/>
        <v>37.025833333333338</v>
      </c>
      <c r="P308" s="38">
        <f t="shared" si="113"/>
        <v>37.834519230769232</v>
      </c>
      <c r="Q308" s="38">
        <f t="shared" si="114"/>
        <v>38.643205128205125</v>
      </c>
      <c r="R308" s="38">
        <f t="shared" si="115"/>
        <v>39.451891025641032</v>
      </c>
      <c r="S308" s="38">
        <f t="shared" si="116"/>
        <v>36.25</v>
      </c>
      <c r="T308" s="38">
        <f t="shared" si="117"/>
        <v>37</v>
      </c>
      <c r="U308" s="38">
        <f t="shared" si="118"/>
        <v>37.75</v>
      </c>
      <c r="V308" s="38">
        <f t="shared" si="119"/>
        <v>38.75</v>
      </c>
      <c r="W308" s="38">
        <f t="shared" si="120"/>
        <v>39.5</v>
      </c>
    </row>
    <row r="309" spans="1:23" ht="21" customHeight="1" x14ac:dyDescent="0.2">
      <c r="A309" s="19" t="s">
        <v>1149</v>
      </c>
      <c r="B309" s="19" t="s">
        <v>1150</v>
      </c>
      <c r="C309" s="32" t="s">
        <v>1151</v>
      </c>
      <c r="D309" s="20" t="s">
        <v>384</v>
      </c>
      <c r="E309" s="20" t="s">
        <v>386</v>
      </c>
      <c r="F309" s="20" t="s">
        <v>401</v>
      </c>
      <c r="G309" s="33">
        <v>12.5</v>
      </c>
      <c r="H309" s="34">
        <f>VLOOKUP($C309,'Raw Cost'!$A$1:$B$484,2,FALSE)/G309</f>
        <v>3.2</v>
      </c>
      <c r="I309" s="34">
        <f t="shared" si="110"/>
        <v>0.2</v>
      </c>
      <c r="J309" s="35">
        <v>18.75</v>
      </c>
      <c r="K309" s="35">
        <v>0.15</v>
      </c>
      <c r="L309" s="36">
        <f>VLOOKUP($F309,'Packaging Cost'!$A$1:$F$43,6,FALSE)</f>
        <v>2.6</v>
      </c>
      <c r="M309" s="37">
        <f>IF($E309="Snakpak",(($J309*H309)+($K309*'Labor Cost'!$A$2)+L309)+2.25,($J309*H309)+($K309*'Labor Cost'!$A$2)+L309+1)</f>
        <v>68.375</v>
      </c>
      <c r="N309" s="38">
        <f t="shared" si="111"/>
        <v>85.46875</v>
      </c>
      <c r="O309" s="38">
        <f t="shared" si="112"/>
        <v>88.887500000000003</v>
      </c>
      <c r="P309" s="38">
        <f t="shared" si="113"/>
        <v>92.306250000000006</v>
      </c>
      <c r="Q309" s="38">
        <f t="shared" si="114"/>
        <v>95.724999999999994</v>
      </c>
      <c r="R309" s="38">
        <f t="shared" si="115"/>
        <v>99.143749999999997</v>
      </c>
      <c r="S309" s="38">
        <f t="shared" si="116"/>
        <v>85.5</v>
      </c>
      <c r="T309" s="38">
        <f t="shared" si="117"/>
        <v>89</v>
      </c>
      <c r="U309" s="38">
        <f t="shared" si="118"/>
        <v>92.25</v>
      </c>
      <c r="V309" s="38">
        <f t="shared" si="119"/>
        <v>95.75</v>
      </c>
      <c r="W309" s="38">
        <f t="shared" si="120"/>
        <v>99.25</v>
      </c>
    </row>
    <row r="310" spans="1:23" ht="21" customHeight="1" x14ac:dyDescent="0.2">
      <c r="A310" s="19" t="s">
        <v>152</v>
      </c>
      <c r="B310" s="19" t="s">
        <v>325</v>
      </c>
      <c r="C310" s="20" t="s">
        <v>54</v>
      </c>
      <c r="D310" s="20" t="s">
        <v>385</v>
      </c>
      <c r="E310" s="20" t="s">
        <v>386</v>
      </c>
      <c r="F310" s="20" t="s">
        <v>401</v>
      </c>
      <c r="G310" s="33">
        <v>33</v>
      </c>
      <c r="H310" s="34">
        <f>VLOOKUP($C310,'Raw Cost'!$A$1:$B$484,2,FALSE)/G310</f>
        <v>0.48484848484848486</v>
      </c>
      <c r="I310" s="34">
        <f t="shared" si="110"/>
        <v>3.0303030303030304E-2</v>
      </c>
      <c r="J310" s="35">
        <v>6.25</v>
      </c>
      <c r="K310" s="35">
        <v>0.3</v>
      </c>
      <c r="L310" s="36">
        <f>VLOOKUP($F310,'Packaging Cost'!$A$1:$F$43,6,FALSE)</f>
        <v>2.6</v>
      </c>
      <c r="M310" s="37">
        <f>IF($E310="Snakpak",(($J310*H310)+($K310*'Labor Cost'!$A$2)+L310)+2.25,($J310*H310)+($K310*'Labor Cost'!$A$2)+L310+1)</f>
        <v>14.93030303030303</v>
      </c>
      <c r="N310" s="38">
        <f t="shared" si="111"/>
        <v>34.662878787878789</v>
      </c>
      <c r="O310" s="38">
        <f t="shared" si="112"/>
        <v>35.409393939393937</v>
      </c>
      <c r="P310" s="38">
        <f t="shared" si="113"/>
        <v>36.155909090909091</v>
      </c>
      <c r="Q310" s="38">
        <f t="shared" si="114"/>
        <v>36.902424242424239</v>
      </c>
      <c r="R310" s="38">
        <f t="shared" si="115"/>
        <v>37.648939393939393</v>
      </c>
      <c r="S310" s="38">
        <f t="shared" si="116"/>
        <v>34.75</v>
      </c>
      <c r="T310" s="38">
        <f t="shared" si="117"/>
        <v>35.5</v>
      </c>
      <c r="U310" s="38">
        <f t="shared" si="118"/>
        <v>36.25</v>
      </c>
      <c r="V310" s="38">
        <f t="shared" si="119"/>
        <v>37</v>
      </c>
      <c r="W310" s="38">
        <f t="shared" si="120"/>
        <v>37.75</v>
      </c>
    </row>
    <row r="311" spans="1:23" ht="21" customHeight="1" x14ac:dyDescent="0.2">
      <c r="A311" s="19" t="s">
        <v>1265</v>
      </c>
      <c r="B311" s="19" t="s">
        <v>324</v>
      </c>
      <c r="C311" s="20" t="s">
        <v>54</v>
      </c>
      <c r="D311" s="20" t="s">
        <v>384</v>
      </c>
      <c r="E311" s="20" t="s">
        <v>386</v>
      </c>
      <c r="F311" s="20" t="s">
        <v>401</v>
      </c>
      <c r="G311" s="33">
        <v>33</v>
      </c>
      <c r="H311" s="34">
        <f>VLOOKUP($C311,'Raw Cost'!$A$1:$B$484,2,FALSE)/G311</f>
        <v>0.48484848484848486</v>
      </c>
      <c r="I311" s="34">
        <f t="shared" si="110"/>
        <v>3.0303030303030304E-2</v>
      </c>
      <c r="J311" s="35">
        <v>6.25</v>
      </c>
      <c r="K311" s="35">
        <v>0.25</v>
      </c>
      <c r="L311" s="36">
        <f>VLOOKUP($F311,'Packaging Cost'!$A$1:$F$43,6,FALSE)</f>
        <v>2.6</v>
      </c>
      <c r="M311" s="37">
        <f>IF($E311="Snakpak",(($J311*H311)+($K311*'Labor Cost'!$A$2)+L311)+2.25,($J311*H311)+($K311*'Labor Cost'!$A$2)+L311+1)</f>
        <v>13.755303030303031</v>
      </c>
      <c r="N311" s="38">
        <f t="shared" si="111"/>
        <v>17.194128787878789</v>
      </c>
      <c r="O311" s="38">
        <f t="shared" si="112"/>
        <v>17.88189393939394</v>
      </c>
      <c r="P311" s="38">
        <f t="shared" si="113"/>
        <v>18.569659090909092</v>
      </c>
      <c r="Q311" s="38">
        <f t="shared" si="114"/>
        <v>19.257424242424243</v>
      </c>
      <c r="R311" s="38">
        <f t="shared" si="115"/>
        <v>19.945189393939394</v>
      </c>
      <c r="S311" s="38">
        <f t="shared" si="116"/>
        <v>17.25</v>
      </c>
      <c r="T311" s="38">
        <f t="shared" si="117"/>
        <v>18</v>
      </c>
      <c r="U311" s="38">
        <f t="shared" si="118"/>
        <v>18.5</v>
      </c>
      <c r="V311" s="38">
        <f t="shared" si="119"/>
        <v>19.25</v>
      </c>
      <c r="W311" s="38">
        <f t="shared" si="120"/>
        <v>20</v>
      </c>
    </row>
    <row r="312" spans="1:23" ht="21" customHeight="1" x14ac:dyDescent="0.2">
      <c r="A312" s="19" t="s">
        <v>1236</v>
      </c>
      <c r="B312" s="19" t="s">
        <v>332</v>
      </c>
      <c r="C312" s="32" t="s">
        <v>1202</v>
      </c>
      <c r="D312" s="32" t="s">
        <v>384</v>
      </c>
      <c r="E312" s="20" t="s">
        <v>386</v>
      </c>
      <c r="F312" s="20" t="s">
        <v>401</v>
      </c>
      <c r="G312" s="33">
        <v>2</v>
      </c>
      <c r="H312" s="34">
        <f>VLOOKUP($C312,'Raw Cost'!$A$1:$B$484,2,FALSE)/G312</f>
        <v>5.1333333333333329</v>
      </c>
      <c r="I312" s="34">
        <f t="shared" si="110"/>
        <v>0.3208333333333333</v>
      </c>
      <c r="J312" s="35">
        <v>7.2</v>
      </c>
      <c r="K312" s="35">
        <v>0.25</v>
      </c>
      <c r="L312" s="36">
        <f>VLOOKUP($F312,'Packaging Cost'!$A$1:$F$43,6,FALSE)</f>
        <v>2.6</v>
      </c>
      <c r="M312" s="37">
        <f>IF($E312="Snakpak",(($J312*H312)+($K312*'Labor Cost'!$A$2)+L312)+2.25,($J312*H312)+($K312*'Labor Cost'!$A$2)+L312+1)</f>
        <v>47.685000000000002</v>
      </c>
      <c r="N312" s="38">
        <f t="shared" si="111"/>
        <v>59.606250000000003</v>
      </c>
      <c r="O312" s="38">
        <f t="shared" si="112"/>
        <v>61.990500000000004</v>
      </c>
      <c r="P312" s="38">
        <f t="shared" si="113"/>
        <v>64.374750000000006</v>
      </c>
      <c r="Q312" s="38">
        <f t="shared" si="114"/>
        <v>66.759</v>
      </c>
      <c r="R312" s="38">
        <f t="shared" si="115"/>
        <v>69.143249999999995</v>
      </c>
      <c r="S312" s="38">
        <f t="shared" si="116"/>
        <v>59.5</v>
      </c>
      <c r="T312" s="38">
        <f t="shared" si="117"/>
        <v>62</v>
      </c>
      <c r="U312" s="38">
        <f t="shared" si="118"/>
        <v>64.25</v>
      </c>
      <c r="V312" s="38">
        <f t="shared" si="119"/>
        <v>66.75</v>
      </c>
      <c r="W312" s="38">
        <f t="shared" si="120"/>
        <v>69.25</v>
      </c>
    </row>
    <row r="313" spans="1:23" ht="21" customHeight="1" x14ac:dyDescent="0.2">
      <c r="A313" s="19" t="s">
        <v>1237</v>
      </c>
      <c r="B313" s="19" t="s">
        <v>332</v>
      </c>
      <c r="C313" s="32" t="s">
        <v>1204</v>
      </c>
      <c r="D313" s="32" t="s">
        <v>384</v>
      </c>
      <c r="E313" s="20" t="s">
        <v>386</v>
      </c>
      <c r="F313" s="20" t="s">
        <v>401</v>
      </c>
      <c r="G313" s="33">
        <v>2</v>
      </c>
      <c r="H313" s="34">
        <f>VLOOKUP($C313,'Raw Cost'!$A$1:$B$484,2,FALSE)/G313</f>
        <v>2.161111111111111</v>
      </c>
      <c r="I313" s="34">
        <f t="shared" si="110"/>
        <v>0.13506944444444444</v>
      </c>
      <c r="J313" s="35">
        <v>7.2</v>
      </c>
      <c r="K313" s="35">
        <v>0.25</v>
      </c>
      <c r="L313" s="36">
        <f>VLOOKUP($F313,'Packaging Cost'!$A$1:$F$43,6,FALSE)</f>
        <v>2.6</v>
      </c>
      <c r="M313" s="37">
        <f>IF($E313="Snakpak",(($J313*H313)+($K313*'Labor Cost'!$A$2)+L313)+2.25,($J313*H313)+($K313*'Labor Cost'!$A$2)+L313+1)</f>
        <v>26.285</v>
      </c>
      <c r="N313" s="38">
        <f t="shared" si="111"/>
        <v>32.856250000000003</v>
      </c>
      <c r="O313" s="38">
        <f t="shared" si="112"/>
        <v>34.170500000000004</v>
      </c>
      <c r="P313" s="38">
        <f t="shared" si="113"/>
        <v>35.484750000000005</v>
      </c>
      <c r="Q313" s="38">
        <f t="shared" si="114"/>
        <v>36.798999999999999</v>
      </c>
      <c r="R313" s="38">
        <f t="shared" si="115"/>
        <v>38.113250000000001</v>
      </c>
      <c r="S313" s="38">
        <f t="shared" si="116"/>
        <v>32.75</v>
      </c>
      <c r="T313" s="38">
        <f t="shared" si="117"/>
        <v>34.25</v>
      </c>
      <c r="U313" s="38">
        <f t="shared" si="118"/>
        <v>35.5</v>
      </c>
      <c r="V313" s="38">
        <f t="shared" si="119"/>
        <v>36.75</v>
      </c>
      <c r="W313" s="38">
        <f t="shared" si="120"/>
        <v>38</v>
      </c>
    </row>
    <row r="314" spans="1:23" ht="21" customHeight="1" x14ac:dyDescent="0.2">
      <c r="A314" s="19" t="s">
        <v>1238</v>
      </c>
      <c r="B314" s="19" t="s">
        <v>332</v>
      </c>
      <c r="C314" s="32" t="s">
        <v>1205</v>
      </c>
      <c r="D314" s="32" t="s">
        <v>384</v>
      </c>
      <c r="E314" s="20" t="s">
        <v>386</v>
      </c>
      <c r="F314" s="20" t="s">
        <v>401</v>
      </c>
      <c r="G314" s="33">
        <v>2</v>
      </c>
      <c r="H314" s="34">
        <f>VLOOKUP($C314,'Raw Cost'!$A$1:$B$484,2,FALSE)/G314</f>
        <v>2.5333333333333332</v>
      </c>
      <c r="I314" s="34">
        <f t="shared" si="110"/>
        <v>0.15833333333333333</v>
      </c>
      <c r="J314" s="35">
        <v>7.2</v>
      </c>
      <c r="K314" s="35">
        <v>0.25</v>
      </c>
      <c r="L314" s="36">
        <f>VLOOKUP($F314,'Packaging Cost'!$A$1:$F$43,6,FALSE)</f>
        <v>2.6</v>
      </c>
      <c r="M314" s="37">
        <f>IF($E314="Snakpak",(($J314*H314)+($K314*'Labor Cost'!$A$2)+L314)+2.25,($J314*H314)+($K314*'Labor Cost'!$A$2)+L314+1)</f>
        <v>28.965</v>
      </c>
      <c r="N314" s="38">
        <f t="shared" si="111"/>
        <v>36.206249999999997</v>
      </c>
      <c r="O314" s="38">
        <f t="shared" si="112"/>
        <v>37.654499999999999</v>
      </c>
      <c r="P314" s="38">
        <f t="shared" si="113"/>
        <v>39.10275</v>
      </c>
      <c r="Q314" s="38">
        <f t="shared" si="114"/>
        <v>40.550999999999995</v>
      </c>
      <c r="R314" s="38">
        <f t="shared" si="115"/>
        <v>41.999249999999996</v>
      </c>
      <c r="S314" s="38">
        <f t="shared" si="116"/>
        <v>36.25</v>
      </c>
      <c r="T314" s="38">
        <f t="shared" si="117"/>
        <v>37.75</v>
      </c>
      <c r="U314" s="38">
        <f t="shared" si="118"/>
        <v>39</v>
      </c>
      <c r="V314" s="38">
        <f t="shared" si="119"/>
        <v>40.5</v>
      </c>
      <c r="W314" s="38">
        <f t="shared" si="120"/>
        <v>42</v>
      </c>
    </row>
    <row r="315" spans="1:23" ht="21" customHeight="1" x14ac:dyDescent="0.2">
      <c r="A315" s="19" t="s">
        <v>1156</v>
      </c>
      <c r="B315" s="19" t="s">
        <v>332</v>
      </c>
      <c r="C315" s="32" t="s">
        <v>1155</v>
      </c>
      <c r="D315" s="32" t="s">
        <v>384</v>
      </c>
      <c r="E315" s="20" t="s">
        <v>386</v>
      </c>
      <c r="F315" s="20" t="s">
        <v>401</v>
      </c>
      <c r="G315" s="33">
        <v>3</v>
      </c>
      <c r="H315" s="34">
        <f>VLOOKUP($C315,'Raw Cost'!$A$1:$B$484,2,FALSE)/G315</f>
        <v>4.0222222222222221</v>
      </c>
      <c r="I315" s="34">
        <f t="shared" si="110"/>
        <v>0.25138888888888888</v>
      </c>
      <c r="J315" s="35">
        <v>7.2</v>
      </c>
      <c r="K315" s="35">
        <v>0.25</v>
      </c>
      <c r="L315" s="36">
        <f>VLOOKUP($F315,'Packaging Cost'!$A$1:$F$43,6,FALSE)</f>
        <v>2.6</v>
      </c>
      <c r="M315" s="37">
        <f>IF($E315="Snakpak",(($J315*H315)+($K315*'Labor Cost'!$A$2)+L315)+2.25,($J315*H315)+($K315*'Labor Cost'!$A$2)+L315+1)</f>
        <v>39.685000000000002</v>
      </c>
      <c r="N315" s="38">
        <f t="shared" si="111"/>
        <v>49.606250000000003</v>
      </c>
      <c r="O315" s="38">
        <f t="shared" si="112"/>
        <v>51.590500000000006</v>
      </c>
      <c r="P315" s="38">
        <f t="shared" si="113"/>
        <v>53.574750000000009</v>
      </c>
      <c r="Q315" s="38">
        <f t="shared" si="114"/>
        <v>55.558999999999997</v>
      </c>
      <c r="R315" s="38">
        <f t="shared" si="115"/>
        <v>57.54325</v>
      </c>
      <c r="S315" s="38">
        <f t="shared" si="116"/>
        <v>49.5</v>
      </c>
      <c r="T315" s="38">
        <f t="shared" si="117"/>
        <v>51.5</v>
      </c>
      <c r="U315" s="38">
        <f t="shared" si="118"/>
        <v>53.5</v>
      </c>
      <c r="V315" s="38">
        <f t="shared" si="119"/>
        <v>55.5</v>
      </c>
      <c r="W315" s="38">
        <f t="shared" si="120"/>
        <v>57.5</v>
      </c>
    </row>
    <row r="316" spans="1:23" ht="21" customHeight="1" x14ac:dyDescent="0.2">
      <c r="A316" s="19" t="s">
        <v>61</v>
      </c>
      <c r="B316" s="19" t="s">
        <v>332</v>
      </c>
      <c r="C316" s="32" t="s">
        <v>58</v>
      </c>
      <c r="D316" s="32" t="s">
        <v>384</v>
      </c>
      <c r="E316" s="20" t="s">
        <v>386</v>
      </c>
      <c r="F316" s="20" t="s">
        <v>401</v>
      </c>
      <c r="G316" s="33">
        <v>7.5</v>
      </c>
      <c r="H316" s="34">
        <f>VLOOKUP($C316,'Raw Cost'!$A$1:$B$484,2,FALSE)/G316</f>
        <v>2.2666666666666666</v>
      </c>
      <c r="I316" s="34">
        <f t="shared" si="110"/>
        <v>0.14166666666666666</v>
      </c>
      <c r="J316" s="35">
        <v>6.25</v>
      </c>
      <c r="K316" s="35">
        <v>0.25</v>
      </c>
      <c r="L316" s="36">
        <f>VLOOKUP($F316,'Packaging Cost'!$A$1:$F$43,6,FALSE)</f>
        <v>2.6</v>
      </c>
      <c r="M316" s="37">
        <f>IF($E316="Snakpak",(($J316*H316)+($K316*'Labor Cost'!$A$2)+L316)+2.25,($J316*H316)+($K316*'Labor Cost'!$A$2)+L316+1)</f>
        <v>24.891666666666666</v>
      </c>
      <c r="N316" s="38">
        <f t="shared" si="111"/>
        <v>31.114583333333332</v>
      </c>
      <c r="O316" s="38">
        <f t="shared" si="112"/>
        <v>32.359166666666667</v>
      </c>
      <c r="P316" s="38">
        <f t="shared" si="113"/>
        <v>33.603749999999998</v>
      </c>
      <c r="Q316" s="38">
        <f t="shared" si="114"/>
        <v>34.848333333333329</v>
      </c>
      <c r="R316" s="38">
        <f t="shared" si="115"/>
        <v>36.092916666666667</v>
      </c>
      <c r="S316" s="38">
        <f t="shared" si="116"/>
        <v>31</v>
      </c>
      <c r="T316" s="38">
        <f t="shared" si="117"/>
        <v>32.25</v>
      </c>
      <c r="U316" s="38">
        <f t="shared" si="118"/>
        <v>33.5</v>
      </c>
      <c r="V316" s="38">
        <f t="shared" si="119"/>
        <v>34.75</v>
      </c>
      <c r="W316" s="38">
        <f t="shared" si="120"/>
        <v>36</v>
      </c>
    </row>
    <row r="317" spans="1:23" ht="21" customHeight="1" x14ac:dyDescent="0.2">
      <c r="A317" s="19" t="s">
        <v>564</v>
      </c>
      <c r="B317" s="19" t="s">
        <v>565</v>
      </c>
      <c r="C317" s="32" t="s">
        <v>566</v>
      </c>
      <c r="D317" s="32" t="s">
        <v>384</v>
      </c>
      <c r="E317" s="20" t="s">
        <v>386</v>
      </c>
      <c r="F317" s="20" t="s">
        <v>401</v>
      </c>
      <c r="G317" s="33">
        <v>3.75</v>
      </c>
      <c r="H317" s="34">
        <f>VLOOKUP($C317,'Raw Cost'!$A$1:$B$484,2,FALSE)/G317</f>
        <v>6.1333333333333337</v>
      </c>
      <c r="I317" s="34">
        <f t="shared" si="110"/>
        <v>0.38333333333333336</v>
      </c>
      <c r="J317" s="35">
        <v>6.25</v>
      </c>
      <c r="K317" s="35">
        <v>0.25</v>
      </c>
      <c r="L317" s="36">
        <f>VLOOKUP($F317,'Packaging Cost'!$A$1:$F$43,6,FALSE)</f>
        <v>2.6</v>
      </c>
      <c r="M317" s="37">
        <f>IF($E317="Snakpak",(($J317*H317)+($K317*'Labor Cost'!$A$2)+L317)+2.25,($J317*H317)+($K317*'Labor Cost'!$A$2)+L317+1)</f>
        <v>49.058333333333337</v>
      </c>
      <c r="N317" s="38">
        <f t="shared" si="111"/>
        <v>61.322916666666671</v>
      </c>
      <c r="O317" s="38">
        <f t="shared" si="112"/>
        <v>63.775833333333338</v>
      </c>
      <c r="P317" s="38">
        <f t="shared" si="113"/>
        <v>66.228750000000005</v>
      </c>
      <c r="Q317" s="38">
        <f t="shared" si="114"/>
        <v>68.681666666666672</v>
      </c>
      <c r="R317" s="38">
        <f t="shared" si="115"/>
        <v>71.134583333333339</v>
      </c>
      <c r="S317" s="38">
        <f t="shared" si="116"/>
        <v>61.25</v>
      </c>
      <c r="T317" s="38">
        <f t="shared" si="117"/>
        <v>63.75</v>
      </c>
      <c r="U317" s="38">
        <f t="shared" si="118"/>
        <v>66.25</v>
      </c>
      <c r="V317" s="38">
        <f t="shared" si="119"/>
        <v>68.75</v>
      </c>
      <c r="W317" s="38">
        <f t="shared" si="120"/>
        <v>71.25</v>
      </c>
    </row>
    <row r="318" spans="1:23" ht="21" customHeight="1" x14ac:dyDescent="0.2">
      <c r="A318" s="19" t="s">
        <v>1235</v>
      </c>
      <c r="B318" s="19" t="s">
        <v>310</v>
      </c>
      <c r="C318" s="20" t="s">
        <v>1201</v>
      </c>
      <c r="D318" s="20" t="s">
        <v>384</v>
      </c>
      <c r="E318" s="20" t="s">
        <v>386</v>
      </c>
      <c r="F318" s="20" t="s">
        <v>401</v>
      </c>
      <c r="G318" s="33">
        <v>2</v>
      </c>
      <c r="H318" s="34">
        <f>VLOOKUP($C318,'Raw Cost'!$A$1:$B$484,2,FALSE)/G318</f>
        <v>2.7029411764705884</v>
      </c>
      <c r="I318" s="34">
        <f t="shared" si="110"/>
        <v>0.16893382352941178</v>
      </c>
      <c r="J318" s="35">
        <v>6.25</v>
      </c>
      <c r="K318" s="35">
        <v>0.25</v>
      </c>
      <c r="L318" s="36">
        <f>VLOOKUP($F318,'Packaging Cost'!$A$1:$F$43,6,FALSE)</f>
        <v>2.6</v>
      </c>
      <c r="M318" s="37">
        <f>IF($E318="Snakpak",(($J318*H318)+($K318*'Labor Cost'!$A$2)+L318)+2.25,($J318*H318)+($K318*'Labor Cost'!$A$2)+L318+1)</f>
        <v>27.618382352941179</v>
      </c>
      <c r="N318" s="38">
        <f t="shared" si="111"/>
        <v>34.522977941176471</v>
      </c>
      <c r="O318" s="38">
        <f t="shared" si="112"/>
        <v>35.903897058823532</v>
      </c>
      <c r="P318" s="38">
        <f t="shared" si="113"/>
        <v>37.284816176470592</v>
      </c>
      <c r="Q318" s="38">
        <f t="shared" si="114"/>
        <v>38.665735294117646</v>
      </c>
      <c r="R318" s="38">
        <f t="shared" si="115"/>
        <v>40.046654411764706</v>
      </c>
      <c r="S318" s="38">
        <f t="shared" si="116"/>
        <v>34.5</v>
      </c>
      <c r="T318" s="38">
        <f t="shared" si="117"/>
        <v>36</v>
      </c>
      <c r="U318" s="38">
        <f t="shared" si="118"/>
        <v>37.25</v>
      </c>
      <c r="V318" s="38">
        <f t="shared" si="119"/>
        <v>38.75</v>
      </c>
      <c r="W318" s="38">
        <f t="shared" si="120"/>
        <v>40</v>
      </c>
    </row>
    <row r="319" spans="1:23" ht="21" customHeight="1" x14ac:dyDescent="0.2">
      <c r="A319" s="19" t="s">
        <v>1289</v>
      </c>
      <c r="B319" s="19" t="s">
        <v>310</v>
      </c>
      <c r="C319" s="20" t="s">
        <v>1201</v>
      </c>
      <c r="D319" s="20" t="s">
        <v>385</v>
      </c>
      <c r="E319" s="20" t="s">
        <v>386</v>
      </c>
      <c r="F319" s="20" t="s">
        <v>401</v>
      </c>
      <c r="G319" s="33">
        <v>2</v>
      </c>
      <c r="H319" s="34">
        <f>VLOOKUP($C319,'Raw Cost'!$A$1:$B$484,2,FALSE)/G319</f>
        <v>2.7029411764705884</v>
      </c>
      <c r="I319" s="34">
        <f t="shared" si="110"/>
        <v>0.16893382352941178</v>
      </c>
      <c r="J319" s="35">
        <v>6.25</v>
      </c>
      <c r="K319" s="35">
        <v>0.25</v>
      </c>
      <c r="L319" s="36">
        <f>VLOOKUP($F319,'Packaging Cost'!$A$1:$F$43,6,FALSE)</f>
        <v>2.6</v>
      </c>
      <c r="M319" s="37">
        <f>IF($E319="Snakpak",(($J319*H319)+($K319*'Labor Cost'!$A$2)+L319)+2.25,($J319*H319)+($K319*'Labor Cost'!$A$2)+L319+1)</f>
        <v>27.618382352941179</v>
      </c>
      <c r="N319" s="38">
        <f t="shared" si="111"/>
        <v>50.522977941176471</v>
      </c>
      <c r="O319" s="38">
        <f t="shared" si="112"/>
        <v>51.903897058823532</v>
      </c>
      <c r="P319" s="38">
        <f t="shared" si="113"/>
        <v>53.284816176470592</v>
      </c>
      <c r="Q319" s="38">
        <f t="shared" si="114"/>
        <v>54.665735294117646</v>
      </c>
      <c r="R319" s="38">
        <f t="shared" si="115"/>
        <v>56.046654411764706</v>
      </c>
      <c r="S319" s="38">
        <f t="shared" si="116"/>
        <v>50.5</v>
      </c>
      <c r="T319" s="38">
        <f t="shared" si="117"/>
        <v>52</v>
      </c>
      <c r="U319" s="38">
        <f t="shared" si="118"/>
        <v>53.25</v>
      </c>
      <c r="V319" s="38">
        <f t="shared" si="119"/>
        <v>54.75</v>
      </c>
      <c r="W319" s="38">
        <f t="shared" si="120"/>
        <v>56</v>
      </c>
    </row>
    <row r="320" spans="1:23" ht="21" customHeight="1" x14ac:dyDescent="0.2">
      <c r="A320" s="19" t="s">
        <v>142</v>
      </c>
      <c r="B320" s="19" t="s">
        <v>310</v>
      </c>
      <c r="C320" s="20" t="s">
        <v>57</v>
      </c>
      <c r="D320" s="20" t="s">
        <v>384</v>
      </c>
      <c r="E320" s="20" t="s">
        <v>386</v>
      </c>
      <c r="F320" s="20" t="s">
        <v>401</v>
      </c>
      <c r="G320" s="33">
        <v>9</v>
      </c>
      <c r="H320" s="34">
        <f>VLOOKUP($C320,'Raw Cost'!$A$1:$B$484,2,FALSE)/G320</f>
        <v>3</v>
      </c>
      <c r="I320" s="34">
        <f t="shared" si="110"/>
        <v>0.1875</v>
      </c>
      <c r="J320" s="35">
        <v>6.25</v>
      </c>
      <c r="K320" s="35">
        <v>0.25</v>
      </c>
      <c r="L320" s="36">
        <f>VLOOKUP($F320,'Packaging Cost'!$A$1:$F$43,6,FALSE)</f>
        <v>2.6</v>
      </c>
      <c r="M320" s="37">
        <f>IF($E320="Snakpak",(($J320*H320)+($K320*'Labor Cost'!$A$2)+L320)+2.25,($J320*H320)+($K320*'Labor Cost'!$A$2)+L320+1)</f>
        <v>29.475000000000001</v>
      </c>
      <c r="N320" s="38">
        <f t="shared" si="111"/>
        <v>36.84375</v>
      </c>
      <c r="O320" s="38">
        <f t="shared" si="112"/>
        <v>38.317500000000003</v>
      </c>
      <c r="P320" s="38">
        <f t="shared" si="113"/>
        <v>39.791250000000005</v>
      </c>
      <c r="Q320" s="38">
        <f t="shared" si="114"/>
        <v>41.265000000000001</v>
      </c>
      <c r="R320" s="38">
        <f t="shared" si="115"/>
        <v>42.738750000000003</v>
      </c>
      <c r="S320" s="38">
        <f t="shared" si="116"/>
        <v>36.75</v>
      </c>
      <c r="T320" s="38">
        <f t="shared" si="117"/>
        <v>38.25</v>
      </c>
      <c r="U320" s="38">
        <f t="shared" si="118"/>
        <v>39.75</v>
      </c>
      <c r="V320" s="38">
        <f t="shared" si="119"/>
        <v>41.25</v>
      </c>
      <c r="W320" s="38">
        <f t="shared" si="120"/>
        <v>42.75</v>
      </c>
    </row>
    <row r="321" spans="1:23" ht="21" customHeight="1" x14ac:dyDescent="0.2">
      <c r="A321" s="19" t="s">
        <v>584</v>
      </c>
      <c r="B321" s="19" t="s">
        <v>310</v>
      </c>
      <c r="C321" s="20" t="s">
        <v>57</v>
      </c>
      <c r="D321" s="20" t="s">
        <v>384</v>
      </c>
      <c r="E321" s="20" t="s">
        <v>386</v>
      </c>
      <c r="F321" s="20" t="s">
        <v>401</v>
      </c>
      <c r="G321" s="33">
        <v>9</v>
      </c>
      <c r="H321" s="34">
        <f>VLOOKUP($C321,'Raw Cost'!$A$1:$B$484,2,FALSE)/G321</f>
        <v>3</v>
      </c>
      <c r="I321" s="34">
        <f t="shared" si="110"/>
        <v>0.1875</v>
      </c>
      <c r="J321" s="35">
        <v>12.5</v>
      </c>
      <c r="K321" s="35">
        <v>0.25</v>
      </c>
      <c r="L321" s="36">
        <f>VLOOKUP($F321,'Packaging Cost'!$A$1:$F$43,6,FALSE)</f>
        <v>2.6</v>
      </c>
      <c r="M321" s="37">
        <f>IF($E321="Snakpak",(($J321*H321)+($K321*'Labor Cost'!$A$2)+L321)+2.25,($J321*H321)+($K321*'Labor Cost'!$A$2)+L321+1)</f>
        <v>48.225000000000001</v>
      </c>
      <c r="N321" s="38">
        <f t="shared" si="111"/>
        <v>60.28125</v>
      </c>
      <c r="O321" s="38">
        <f t="shared" si="112"/>
        <v>62.692500000000003</v>
      </c>
      <c r="P321" s="38">
        <f t="shared" si="113"/>
        <v>65.103750000000005</v>
      </c>
      <c r="Q321" s="38">
        <f t="shared" si="114"/>
        <v>67.515000000000001</v>
      </c>
      <c r="R321" s="38">
        <f t="shared" si="115"/>
        <v>69.926249999999996</v>
      </c>
      <c r="S321" s="38">
        <f t="shared" si="116"/>
        <v>60.25</v>
      </c>
      <c r="T321" s="38">
        <f t="shared" si="117"/>
        <v>62.75</v>
      </c>
      <c r="U321" s="38">
        <f t="shared" si="118"/>
        <v>65</v>
      </c>
      <c r="V321" s="38">
        <f t="shared" si="119"/>
        <v>67.5</v>
      </c>
      <c r="W321" s="38">
        <f t="shared" si="120"/>
        <v>70</v>
      </c>
    </row>
    <row r="322" spans="1:23" ht="21" customHeight="1" x14ac:dyDescent="0.2">
      <c r="A322" s="19" t="s">
        <v>143</v>
      </c>
      <c r="B322" s="19" t="s">
        <v>311</v>
      </c>
      <c r="C322" s="20" t="s">
        <v>57</v>
      </c>
      <c r="D322" s="20" t="s">
        <v>385</v>
      </c>
      <c r="E322" s="20" t="s">
        <v>386</v>
      </c>
      <c r="F322" s="20" t="s">
        <v>401</v>
      </c>
      <c r="G322" s="33">
        <v>9</v>
      </c>
      <c r="H322" s="34">
        <f>VLOOKUP($C322,'Raw Cost'!$A$1:$B$484,2,FALSE)/G322</f>
        <v>3</v>
      </c>
      <c r="I322" s="34">
        <f t="shared" si="110"/>
        <v>0.1875</v>
      </c>
      <c r="J322" s="35">
        <v>6.25</v>
      </c>
      <c r="K322" s="35">
        <v>0.25</v>
      </c>
      <c r="L322" s="36">
        <f>VLOOKUP($F322,'Packaging Cost'!$A$1:$F$43,6,FALSE)</f>
        <v>2.6</v>
      </c>
      <c r="M322" s="37">
        <f>IF($E322="Snakpak",(($J322*H322)+($K322*'Labor Cost'!$A$2)+L322)+2.25,($J322*H322)+($K322*'Labor Cost'!$A$2)+L322+1)</f>
        <v>29.475000000000001</v>
      </c>
      <c r="N322" s="38">
        <f t="shared" si="111"/>
        <v>52.84375</v>
      </c>
      <c r="O322" s="38">
        <f t="shared" si="112"/>
        <v>54.317500000000003</v>
      </c>
      <c r="P322" s="38">
        <f t="shared" si="113"/>
        <v>55.791250000000005</v>
      </c>
      <c r="Q322" s="38">
        <f t="shared" si="114"/>
        <v>57.265000000000001</v>
      </c>
      <c r="R322" s="38">
        <f t="shared" si="115"/>
        <v>58.738750000000003</v>
      </c>
      <c r="S322" s="38">
        <f t="shared" si="116"/>
        <v>52.75</v>
      </c>
      <c r="T322" s="38">
        <f t="shared" si="117"/>
        <v>54.25</v>
      </c>
      <c r="U322" s="38">
        <f t="shared" si="118"/>
        <v>55.75</v>
      </c>
      <c r="V322" s="38">
        <f t="shared" si="119"/>
        <v>57.25</v>
      </c>
      <c r="W322" s="38">
        <f t="shared" si="120"/>
        <v>58.75</v>
      </c>
    </row>
    <row r="323" spans="1:23" ht="21" customHeight="1" x14ac:dyDescent="0.2">
      <c r="A323" s="19" t="s">
        <v>157</v>
      </c>
      <c r="B323" s="19" t="s">
        <v>334</v>
      </c>
      <c r="C323" s="32" t="s">
        <v>42</v>
      </c>
      <c r="D323" s="32" t="s">
        <v>384</v>
      </c>
      <c r="E323" s="20" t="s">
        <v>386</v>
      </c>
      <c r="F323" s="20" t="s">
        <v>402</v>
      </c>
      <c r="G323" s="33">
        <v>38</v>
      </c>
      <c r="H323" s="34">
        <f>VLOOKUP($C323,'Raw Cost'!$A$1:$B$484,2,FALSE)/G323</f>
        <v>0.53947368421052633</v>
      </c>
      <c r="I323" s="34">
        <f t="shared" si="110"/>
        <v>3.3717105263157895E-2</v>
      </c>
      <c r="J323" s="35">
        <v>12.5</v>
      </c>
      <c r="K323" s="35">
        <v>0.3</v>
      </c>
      <c r="L323" s="36">
        <f>VLOOKUP($F323,'Packaging Cost'!$A$1:$F$43,6,FALSE)</f>
        <v>4.3499999999999996</v>
      </c>
      <c r="M323" s="37">
        <f>IF($E323="Snakpak",(($J323*H323)+($K323*'Labor Cost'!$A$2)+L323)+2.25,($J323*H323)+($K323*'Labor Cost'!$A$2)+L323+1)</f>
        <v>20.393421052631581</v>
      </c>
      <c r="N323" s="38">
        <f t="shared" si="111"/>
        <v>25.491776315789476</v>
      </c>
      <c r="O323" s="38">
        <f t="shared" si="112"/>
        <v>26.511447368421056</v>
      </c>
      <c r="P323" s="38">
        <f t="shared" si="113"/>
        <v>27.531118421052636</v>
      </c>
      <c r="Q323" s="38">
        <f t="shared" si="114"/>
        <v>28.550789473684212</v>
      </c>
      <c r="R323" s="38">
        <f t="shared" si="115"/>
        <v>29.570460526315792</v>
      </c>
      <c r="S323" s="38">
        <f t="shared" si="116"/>
        <v>25.5</v>
      </c>
      <c r="T323" s="38">
        <f t="shared" si="117"/>
        <v>26.5</v>
      </c>
      <c r="U323" s="38">
        <f t="shared" si="118"/>
        <v>27.5</v>
      </c>
      <c r="V323" s="38">
        <f t="shared" si="119"/>
        <v>28.5</v>
      </c>
      <c r="W323" s="38">
        <f t="shared" si="120"/>
        <v>29.5</v>
      </c>
    </row>
    <row r="324" spans="1:23" ht="21" customHeight="1" x14ac:dyDescent="0.2">
      <c r="A324" s="19" t="s">
        <v>158</v>
      </c>
      <c r="B324" s="19" t="s">
        <v>335</v>
      </c>
      <c r="C324" s="32" t="s">
        <v>42</v>
      </c>
      <c r="D324" s="32" t="s">
        <v>384</v>
      </c>
      <c r="E324" s="20" t="s">
        <v>386</v>
      </c>
      <c r="F324" s="20" t="s">
        <v>401</v>
      </c>
      <c r="G324" s="33">
        <v>38</v>
      </c>
      <c r="H324" s="34">
        <f>VLOOKUP($C324,'Raw Cost'!$A$1:$B$484,2,FALSE)/G324</f>
        <v>0.53947368421052633</v>
      </c>
      <c r="I324" s="34">
        <f t="shared" si="110"/>
        <v>3.3717105263157895E-2</v>
      </c>
      <c r="J324" s="35">
        <v>6.25</v>
      </c>
      <c r="K324" s="35">
        <v>0.25</v>
      </c>
      <c r="L324" s="36">
        <f>VLOOKUP($F324,'Packaging Cost'!$A$1:$F$43,6,FALSE)</f>
        <v>2.6</v>
      </c>
      <c r="M324" s="37">
        <f>IF($E324="Snakpak",(($J324*H324)+($K324*'Labor Cost'!$A$2)+L324)+2.25,($J324*H324)+($K324*'Labor Cost'!$A$2)+L324+1)</f>
        <v>14.096710526315789</v>
      </c>
      <c r="N324" s="38">
        <f t="shared" si="111"/>
        <v>17.620888157894736</v>
      </c>
      <c r="O324" s="38">
        <f t="shared" si="112"/>
        <v>18.325723684210526</v>
      </c>
      <c r="P324" s="38">
        <f t="shared" si="113"/>
        <v>19.030559210526317</v>
      </c>
      <c r="Q324" s="38">
        <f t="shared" si="114"/>
        <v>19.735394736842103</v>
      </c>
      <c r="R324" s="38">
        <f t="shared" si="115"/>
        <v>20.440230263157893</v>
      </c>
      <c r="S324" s="38">
        <f t="shared" si="116"/>
        <v>17.5</v>
      </c>
      <c r="T324" s="38">
        <f t="shared" si="117"/>
        <v>18.25</v>
      </c>
      <c r="U324" s="38">
        <f t="shared" si="118"/>
        <v>19</v>
      </c>
      <c r="V324" s="38">
        <f t="shared" si="119"/>
        <v>19.75</v>
      </c>
      <c r="W324" s="38">
        <f t="shared" si="120"/>
        <v>20.5</v>
      </c>
    </row>
    <row r="325" spans="1:23" ht="21" customHeight="1" x14ac:dyDescent="0.2">
      <c r="A325" s="19" t="s">
        <v>159</v>
      </c>
      <c r="B325" s="19" t="s">
        <v>336</v>
      </c>
      <c r="C325" s="20" t="s">
        <v>42</v>
      </c>
      <c r="D325" s="20" t="s">
        <v>385</v>
      </c>
      <c r="E325" s="20" t="s">
        <v>386</v>
      </c>
      <c r="F325" s="20" t="s">
        <v>401</v>
      </c>
      <c r="G325" s="33">
        <v>38</v>
      </c>
      <c r="H325" s="34">
        <f>VLOOKUP($C325,'Raw Cost'!$A$1:$B$484,2,FALSE)/G325</f>
        <v>0.53947368421052633</v>
      </c>
      <c r="I325" s="34">
        <f t="shared" si="110"/>
        <v>3.3717105263157895E-2</v>
      </c>
      <c r="J325" s="35">
        <v>6.25</v>
      </c>
      <c r="K325" s="35">
        <v>0.5</v>
      </c>
      <c r="L325" s="36">
        <f>VLOOKUP($F325,'Packaging Cost'!$A$1:$F$43,6,FALSE)</f>
        <v>2.6</v>
      </c>
      <c r="M325" s="37">
        <f>IF($E325="Snakpak",(($J325*H325)+($K325*'Labor Cost'!$A$2)+L325)+2.25,($J325*H325)+($K325*'Labor Cost'!$A$2)+L325+1)</f>
        <v>19.971710526315789</v>
      </c>
      <c r="N325" s="38">
        <f t="shared" si="111"/>
        <v>40.96463815789474</v>
      </c>
      <c r="O325" s="38">
        <f t="shared" si="112"/>
        <v>41.963223684210526</v>
      </c>
      <c r="P325" s="38">
        <f t="shared" si="113"/>
        <v>42.961809210526312</v>
      </c>
      <c r="Q325" s="38">
        <f t="shared" si="114"/>
        <v>43.960394736842105</v>
      </c>
      <c r="R325" s="38">
        <f t="shared" si="115"/>
        <v>44.958980263157898</v>
      </c>
      <c r="S325" s="38">
        <f t="shared" si="116"/>
        <v>41</v>
      </c>
      <c r="T325" s="38">
        <f t="shared" si="117"/>
        <v>42</v>
      </c>
      <c r="U325" s="38">
        <f t="shared" si="118"/>
        <v>43</v>
      </c>
      <c r="V325" s="38">
        <f t="shared" si="119"/>
        <v>44</v>
      </c>
      <c r="W325" s="38">
        <f t="shared" si="120"/>
        <v>45</v>
      </c>
    </row>
    <row r="326" spans="1:23" ht="21" customHeight="1" x14ac:dyDescent="0.2">
      <c r="A326" s="19" t="s">
        <v>560</v>
      </c>
      <c r="B326" s="19" t="s">
        <v>562</v>
      </c>
      <c r="C326" s="32" t="s">
        <v>559</v>
      </c>
      <c r="D326" s="32" t="s">
        <v>384</v>
      </c>
      <c r="E326" s="20" t="s">
        <v>386</v>
      </c>
      <c r="F326" s="20" t="s">
        <v>401</v>
      </c>
      <c r="G326" s="33">
        <v>38</v>
      </c>
      <c r="H326" s="34">
        <f>VLOOKUP($C326,'Raw Cost'!$A$1:$B$484,2,FALSE)/G326</f>
        <v>0.71052631578947367</v>
      </c>
      <c r="I326" s="34">
        <f t="shared" si="110"/>
        <v>4.4407894736842105E-2</v>
      </c>
      <c r="J326" s="35">
        <v>6.25</v>
      </c>
      <c r="K326" s="35">
        <v>0.25</v>
      </c>
      <c r="L326" s="36">
        <f>VLOOKUP($F326,'Packaging Cost'!$A$1:$F$43,6,FALSE)</f>
        <v>2.6</v>
      </c>
      <c r="M326" s="37">
        <f>IF($E326="Snakpak",(($J326*H326)+($K326*'Labor Cost'!$A$2)+L326)+2.25,($J326*H326)+($K326*'Labor Cost'!$A$2)+L326+1)</f>
        <v>15.16578947368421</v>
      </c>
      <c r="N326" s="38">
        <f t="shared" si="111"/>
        <v>18.957236842105264</v>
      </c>
      <c r="O326" s="38">
        <f t="shared" si="112"/>
        <v>19.715526315789475</v>
      </c>
      <c r="P326" s="38">
        <f t="shared" si="113"/>
        <v>20.473815789473687</v>
      </c>
      <c r="Q326" s="38">
        <f t="shared" si="114"/>
        <v>21.232105263157894</v>
      </c>
      <c r="R326" s="38">
        <f t="shared" si="115"/>
        <v>21.990394736842106</v>
      </c>
      <c r="S326" s="38">
        <f t="shared" si="116"/>
        <v>19</v>
      </c>
      <c r="T326" s="38">
        <f t="shared" si="117"/>
        <v>19.75</v>
      </c>
      <c r="U326" s="38">
        <f t="shared" si="118"/>
        <v>20.5</v>
      </c>
      <c r="V326" s="38">
        <f t="shared" si="119"/>
        <v>21.25</v>
      </c>
      <c r="W326" s="38">
        <f t="shared" si="120"/>
        <v>22</v>
      </c>
    </row>
    <row r="327" spans="1:23" ht="21" customHeight="1" x14ac:dyDescent="0.2">
      <c r="A327" s="19" t="s">
        <v>561</v>
      </c>
      <c r="B327" s="19" t="s">
        <v>563</v>
      </c>
      <c r="C327" s="20" t="s">
        <v>559</v>
      </c>
      <c r="D327" s="20" t="s">
        <v>385</v>
      </c>
      <c r="E327" s="20" t="s">
        <v>386</v>
      </c>
      <c r="F327" s="20" t="s">
        <v>401</v>
      </c>
      <c r="G327" s="33">
        <v>38</v>
      </c>
      <c r="H327" s="34">
        <f>VLOOKUP($C327,'Raw Cost'!$A$1:$B$484,2,FALSE)/G327</f>
        <v>0.71052631578947367</v>
      </c>
      <c r="I327" s="34">
        <f t="shared" si="110"/>
        <v>4.4407894736842105E-2</v>
      </c>
      <c r="J327" s="35">
        <v>6.25</v>
      </c>
      <c r="K327" s="35">
        <v>0.25</v>
      </c>
      <c r="L327" s="36">
        <f>VLOOKUP($F327,'Packaging Cost'!$A$1:$F$43,6,FALSE)</f>
        <v>2.6</v>
      </c>
      <c r="M327" s="37">
        <f>IF($E327="Snakpak",(($J327*H327)+($K327*'Labor Cost'!$A$2)+L327)+2.25,($J327*H327)+($K327*'Labor Cost'!$A$2)+L327+1)</f>
        <v>15.16578947368421</v>
      </c>
      <c r="N327" s="38">
        <f t="shared" si="111"/>
        <v>34.95723684210526</v>
      </c>
      <c r="O327" s="38">
        <f t="shared" si="112"/>
        <v>35.715526315789475</v>
      </c>
      <c r="P327" s="38">
        <f t="shared" si="113"/>
        <v>36.47381578947369</v>
      </c>
      <c r="Q327" s="38">
        <f t="shared" si="114"/>
        <v>37.232105263157891</v>
      </c>
      <c r="R327" s="38">
        <f t="shared" si="115"/>
        <v>37.990394736842106</v>
      </c>
      <c r="S327" s="38">
        <f t="shared" si="116"/>
        <v>35</v>
      </c>
      <c r="T327" s="38">
        <f t="shared" si="117"/>
        <v>35.75</v>
      </c>
      <c r="U327" s="38">
        <f t="shared" si="118"/>
        <v>36.5</v>
      </c>
      <c r="V327" s="38">
        <f t="shared" si="119"/>
        <v>37.25</v>
      </c>
      <c r="W327" s="38">
        <f t="shared" si="120"/>
        <v>38</v>
      </c>
    </row>
    <row r="328" spans="1:23" ht="21" customHeight="1" x14ac:dyDescent="0.2">
      <c r="A328" s="19" t="s">
        <v>160</v>
      </c>
      <c r="B328" s="19" t="s">
        <v>337</v>
      </c>
      <c r="C328" s="20" t="s">
        <v>405</v>
      </c>
      <c r="D328" s="20" t="s">
        <v>384</v>
      </c>
      <c r="E328" s="20" t="s">
        <v>386</v>
      </c>
      <c r="F328" s="20" t="s">
        <v>401</v>
      </c>
      <c r="G328" s="33">
        <v>38</v>
      </c>
      <c r="H328" s="34">
        <f>VLOOKUP($C328,'Raw Cost'!$A$1:$B$484,2,FALSE)/G328</f>
        <v>0.75</v>
      </c>
      <c r="I328" s="34">
        <f t="shared" si="110"/>
        <v>4.6875E-2</v>
      </c>
      <c r="J328" s="35">
        <v>10.94</v>
      </c>
      <c r="K328" s="35">
        <v>0.25</v>
      </c>
      <c r="L328" s="36">
        <f>VLOOKUP($F328,'Packaging Cost'!$A$1:$F$43,6,FALSE)</f>
        <v>2.6</v>
      </c>
      <c r="M328" s="37">
        <f>IF($E328="Snakpak",(($J328*H328)+($K328*'Labor Cost'!$A$2)+L328)+2.25,($J328*H328)+($K328*'Labor Cost'!$A$2)+L328+1)</f>
        <v>18.93</v>
      </c>
      <c r="N328" s="38">
        <f t="shared" si="111"/>
        <v>23.662500000000001</v>
      </c>
      <c r="O328" s="38">
        <f t="shared" si="112"/>
        <v>24.609000000000002</v>
      </c>
      <c r="P328" s="38">
        <f t="shared" si="113"/>
        <v>25.555500000000002</v>
      </c>
      <c r="Q328" s="38">
        <f t="shared" si="114"/>
        <v>26.501999999999999</v>
      </c>
      <c r="R328" s="38">
        <f t="shared" si="115"/>
        <v>27.448499999999999</v>
      </c>
      <c r="S328" s="38">
        <f t="shared" si="116"/>
        <v>23.75</v>
      </c>
      <c r="T328" s="38">
        <f t="shared" si="117"/>
        <v>24.5</v>
      </c>
      <c r="U328" s="38">
        <f t="shared" si="118"/>
        <v>25.5</v>
      </c>
      <c r="V328" s="38">
        <f t="shared" si="119"/>
        <v>26.5</v>
      </c>
      <c r="W328" s="38">
        <f t="shared" si="120"/>
        <v>27.5</v>
      </c>
    </row>
    <row r="329" spans="1:23" ht="21" customHeight="1" x14ac:dyDescent="0.2">
      <c r="A329" s="19" t="s">
        <v>1131</v>
      </c>
      <c r="B329" s="19" t="s">
        <v>1132</v>
      </c>
      <c r="C329" s="32" t="s">
        <v>1031</v>
      </c>
      <c r="D329" s="20" t="s">
        <v>384</v>
      </c>
      <c r="E329" s="20" t="s">
        <v>386</v>
      </c>
      <c r="F329" s="20" t="s">
        <v>401</v>
      </c>
      <c r="G329" s="33">
        <v>5.5</v>
      </c>
      <c r="H329" s="34">
        <f>VLOOKUP($C329,'Raw Cost'!$A$1:$B$484,2,FALSE)/G329</f>
        <v>8</v>
      </c>
      <c r="I329" s="34">
        <f t="shared" si="110"/>
        <v>0.5</v>
      </c>
      <c r="J329" s="35">
        <v>6.25</v>
      </c>
      <c r="K329" s="35">
        <v>0.25</v>
      </c>
      <c r="L329" s="36">
        <f>VLOOKUP($F329,'Packaging Cost'!$A$1:$F$43,6,FALSE)</f>
        <v>2.6</v>
      </c>
      <c r="M329" s="37">
        <f>IF($E329="Snakpak",(($J329*H329)+($K329*'Labor Cost'!$A$2)+L329)+2.25,($J329*H329)+($K329*'Labor Cost'!$A$2)+L329+1)</f>
        <v>60.725000000000001</v>
      </c>
      <c r="N329" s="38">
        <f t="shared" si="111"/>
        <v>75.90625</v>
      </c>
      <c r="O329" s="38">
        <f t="shared" si="112"/>
        <v>78.94250000000001</v>
      </c>
      <c r="P329" s="38">
        <f t="shared" si="113"/>
        <v>81.978750000000005</v>
      </c>
      <c r="Q329" s="38">
        <f t="shared" si="114"/>
        <v>85.015000000000001</v>
      </c>
      <c r="R329" s="38">
        <f t="shared" si="115"/>
        <v>88.051249999999996</v>
      </c>
      <c r="S329" s="38">
        <f t="shared" si="116"/>
        <v>76</v>
      </c>
      <c r="T329" s="38">
        <f t="shared" si="117"/>
        <v>79</v>
      </c>
      <c r="U329" s="38">
        <f t="shared" si="118"/>
        <v>82</v>
      </c>
      <c r="V329" s="38">
        <f t="shared" si="119"/>
        <v>85</v>
      </c>
      <c r="W329" s="38">
        <f t="shared" si="120"/>
        <v>88</v>
      </c>
    </row>
    <row r="330" spans="1:23" ht="21" customHeight="1" x14ac:dyDescent="0.2">
      <c r="A330" s="19" t="s">
        <v>1272</v>
      </c>
      <c r="B330" s="19" t="s">
        <v>1132</v>
      </c>
      <c r="C330" s="32" t="s">
        <v>1031</v>
      </c>
      <c r="D330" s="20" t="s">
        <v>385</v>
      </c>
      <c r="E330" s="20" t="s">
        <v>386</v>
      </c>
      <c r="F330" s="20" t="s">
        <v>401</v>
      </c>
      <c r="G330" s="33">
        <v>5.5</v>
      </c>
      <c r="H330" s="34">
        <f>VLOOKUP($C330,'Raw Cost'!$A$1:$B$484,2,FALSE)/G330</f>
        <v>8</v>
      </c>
      <c r="I330" s="34">
        <f t="shared" si="110"/>
        <v>0.5</v>
      </c>
      <c r="J330" s="35">
        <v>6.25</v>
      </c>
      <c r="K330" s="35">
        <v>0.25</v>
      </c>
      <c r="L330" s="36">
        <f>VLOOKUP($F330,'Packaging Cost'!$A$1:$F$43,6,FALSE)</f>
        <v>2.6</v>
      </c>
      <c r="M330" s="37">
        <f>IF($E330="Snakpak",(($J330*H330)+($K330*'Labor Cost'!$A$2)+L330)+2.25,($J330*H330)+($K330*'Labor Cost'!$A$2)+L330+1)</f>
        <v>60.725000000000001</v>
      </c>
      <c r="N330" s="38">
        <f t="shared" si="111"/>
        <v>91.90625</v>
      </c>
      <c r="O330" s="38">
        <f t="shared" si="112"/>
        <v>94.94250000000001</v>
      </c>
      <c r="P330" s="38">
        <f t="shared" si="113"/>
        <v>97.978750000000005</v>
      </c>
      <c r="Q330" s="38">
        <f t="shared" si="114"/>
        <v>101.015</v>
      </c>
      <c r="R330" s="38">
        <f t="shared" si="115"/>
        <v>104.05125</v>
      </c>
      <c r="S330" s="38">
        <f t="shared" si="116"/>
        <v>92</v>
      </c>
      <c r="T330" s="38">
        <f t="shared" si="117"/>
        <v>95</v>
      </c>
      <c r="U330" s="38">
        <f t="shared" si="118"/>
        <v>98</v>
      </c>
      <c r="V330" s="38">
        <f t="shared" si="119"/>
        <v>101</v>
      </c>
      <c r="W330" s="38">
        <f t="shared" si="120"/>
        <v>104</v>
      </c>
    </row>
    <row r="331" spans="1:23" ht="21" customHeight="1" x14ac:dyDescent="0.2">
      <c r="A331" s="19" t="s">
        <v>491</v>
      </c>
      <c r="B331" s="19" t="s">
        <v>339</v>
      </c>
      <c r="C331" s="32" t="s">
        <v>47</v>
      </c>
      <c r="D331" s="20" t="s">
        <v>384</v>
      </c>
      <c r="E331" s="20" t="s">
        <v>386</v>
      </c>
      <c r="F331" s="20" t="s">
        <v>401</v>
      </c>
      <c r="G331" s="33">
        <v>20</v>
      </c>
      <c r="H331" s="34">
        <f>VLOOKUP($C331,'Raw Cost'!$A$1:$B$484,2,FALSE)/G331</f>
        <v>1.2250000000000001</v>
      </c>
      <c r="I331" s="34">
        <f t="shared" ref="I331:I338" si="121">H331/16</f>
        <v>7.6562500000000006E-2</v>
      </c>
      <c r="J331" s="35">
        <v>6.25</v>
      </c>
      <c r="K331" s="35">
        <v>0.27</v>
      </c>
      <c r="L331" s="36">
        <f>VLOOKUP($F331,'Packaging Cost'!$A$1:$F$43,6,FALSE)</f>
        <v>2.6</v>
      </c>
      <c r="M331" s="37">
        <f>IF($E331="Snakpak",(($J331*H331)+($K331*'Labor Cost'!$A$2)+L331)+2.25,($J331*H331)+($K331*'Labor Cost'!$A$2)+L331+1)</f>
        <v>18.851250000000004</v>
      </c>
      <c r="N331" s="38">
        <f t="shared" ref="N331:N338" si="122">IF($D331="No",$M331*1.25,($M331*1.25)+16)</f>
        <v>23.564062500000006</v>
      </c>
      <c r="O331" s="38">
        <f t="shared" ref="O331:O338" si="123">IF($D331="No",$M331*1.3,($M331*1.3)+16)</f>
        <v>24.506625000000007</v>
      </c>
      <c r="P331" s="38">
        <f t="shared" ref="P331:P338" si="124">IF($D331="No",$M331*1.35,($M331*1.35)+16)</f>
        <v>25.449187500000008</v>
      </c>
      <c r="Q331" s="38">
        <f t="shared" ref="Q331:Q338" si="125">IF($D331="No",$M331*1.4,($M331*1.4)+16)</f>
        <v>26.391750000000005</v>
      </c>
      <c r="R331" s="38">
        <f t="shared" ref="R331:R338" si="126">IF($D331="No",$M331*1.45,($M331*1.45)+16)</f>
        <v>27.334312500000006</v>
      </c>
      <c r="S331" s="38">
        <f t="shared" ref="S331:S338" si="127">MROUND(N331,0.25)</f>
        <v>23.5</v>
      </c>
      <c r="T331" s="38">
        <f t="shared" ref="T331:T338" si="128">MROUND(O331,0.25)</f>
        <v>24.5</v>
      </c>
      <c r="U331" s="38">
        <f t="shared" ref="U331:U338" si="129">MROUND(P331,0.25)</f>
        <v>25.5</v>
      </c>
      <c r="V331" s="38">
        <f t="shared" ref="V331:V338" si="130">MROUND(Q331,0.25)</f>
        <v>26.5</v>
      </c>
      <c r="W331" s="38">
        <f t="shared" ref="W331:W338" si="131">MROUND(R331,0.25)</f>
        <v>27.25</v>
      </c>
    </row>
    <row r="332" spans="1:23" ht="21" customHeight="1" x14ac:dyDescent="0.2">
      <c r="A332" s="19" t="s">
        <v>162</v>
      </c>
      <c r="B332" s="19" t="s">
        <v>340</v>
      </c>
      <c r="C332" s="32" t="s">
        <v>47</v>
      </c>
      <c r="D332" s="32" t="s">
        <v>385</v>
      </c>
      <c r="E332" s="20" t="s">
        <v>386</v>
      </c>
      <c r="F332" s="20" t="s">
        <v>401</v>
      </c>
      <c r="G332" s="33">
        <v>20</v>
      </c>
      <c r="H332" s="34">
        <f>VLOOKUP($C332,'Raw Cost'!$A$1:$B$484,2,FALSE)/G332</f>
        <v>1.2250000000000001</v>
      </c>
      <c r="I332" s="34">
        <f t="shared" si="121"/>
        <v>7.6562500000000006E-2</v>
      </c>
      <c r="J332" s="35">
        <v>6.25</v>
      </c>
      <c r="K332" s="35">
        <v>0.4</v>
      </c>
      <c r="L332" s="36">
        <f>VLOOKUP($F332,'Packaging Cost'!$A$1:$F$43,6,FALSE)</f>
        <v>2.6</v>
      </c>
      <c r="M332" s="37">
        <f>IF($E332="Snakpak",(($J332*H332)+($K332*'Labor Cost'!$A$2)+L332)+2.25,($J332*H332)+($K332*'Labor Cost'!$A$2)+L332+1)</f>
        <v>21.906250000000004</v>
      </c>
      <c r="N332" s="38">
        <f t="shared" si="122"/>
        <v>43.3828125</v>
      </c>
      <c r="O332" s="38">
        <f t="shared" si="123"/>
        <v>44.478125000000006</v>
      </c>
      <c r="P332" s="38">
        <f t="shared" si="124"/>
        <v>45.573437500000011</v>
      </c>
      <c r="Q332" s="38">
        <f t="shared" si="125"/>
        <v>46.668750000000003</v>
      </c>
      <c r="R332" s="38">
        <f t="shared" si="126"/>
        <v>47.764062500000009</v>
      </c>
      <c r="S332" s="38">
        <f t="shared" si="127"/>
        <v>43.5</v>
      </c>
      <c r="T332" s="38">
        <f t="shared" si="128"/>
        <v>44.5</v>
      </c>
      <c r="U332" s="38">
        <f t="shared" si="129"/>
        <v>45.5</v>
      </c>
      <c r="V332" s="38">
        <f t="shared" si="130"/>
        <v>46.75</v>
      </c>
      <c r="W332" s="38">
        <f t="shared" si="131"/>
        <v>47.75</v>
      </c>
    </row>
    <row r="333" spans="1:23" ht="21" customHeight="1" x14ac:dyDescent="0.2">
      <c r="A333" s="19" t="s">
        <v>427</v>
      </c>
      <c r="B333" s="19" t="s">
        <v>428</v>
      </c>
      <c r="C333" s="20" t="s">
        <v>426</v>
      </c>
      <c r="D333" s="20" t="s">
        <v>384</v>
      </c>
      <c r="E333" s="20" t="s">
        <v>386</v>
      </c>
      <c r="F333" s="20" t="s">
        <v>401</v>
      </c>
      <c r="G333" s="33">
        <v>23</v>
      </c>
      <c r="H333" s="34">
        <f>VLOOKUP($C333,'Raw Cost'!$A$1:$B$484,2,FALSE)/G333</f>
        <v>0</v>
      </c>
      <c r="I333" s="34">
        <f t="shared" si="121"/>
        <v>0</v>
      </c>
      <c r="J333" s="35">
        <v>11</v>
      </c>
      <c r="K333" s="35">
        <v>0.25</v>
      </c>
      <c r="L333" s="36">
        <f>VLOOKUP($F333,'Packaging Cost'!$A$1:$F$43,6,FALSE)</f>
        <v>2.6</v>
      </c>
      <c r="M333" s="37">
        <f>IF($E333="Snakpak",(($J333*H333)+($K333*'Labor Cost'!$A$2)+L333)+2.25,($J333*H333)+($K333*'Labor Cost'!$A$2)+L333+1)</f>
        <v>10.725</v>
      </c>
      <c r="N333" s="38">
        <f t="shared" si="122"/>
        <v>13.40625</v>
      </c>
      <c r="O333" s="38">
        <f t="shared" si="123"/>
        <v>13.942500000000001</v>
      </c>
      <c r="P333" s="38">
        <f t="shared" si="124"/>
        <v>14.47875</v>
      </c>
      <c r="Q333" s="38">
        <f t="shared" si="125"/>
        <v>15.014999999999999</v>
      </c>
      <c r="R333" s="38">
        <f t="shared" si="126"/>
        <v>15.55125</v>
      </c>
      <c r="S333" s="38">
        <f t="shared" si="127"/>
        <v>13.5</v>
      </c>
      <c r="T333" s="38">
        <f t="shared" si="128"/>
        <v>14</v>
      </c>
      <c r="U333" s="38">
        <f t="shared" si="129"/>
        <v>14.5</v>
      </c>
      <c r="V333" s="38">
        <f t="shared" si="130"/>
        <v>15</v>
      </c>
      <c r="W333" s="38">
        <f t="shared" si="131"/>
        <v>15.5</v>
      </c>
    </row>
    <row r="334" spans="1:23" ht="21" customHeight="1" x14ac:dyDescent="0.2">
      <c r="A334" s="19" t="s">
        <v>1279</v>
      </c>
      <c r="B334" s="19" t="s">
        <v>344</v>
      </c>
      <c r="C334" s="20" t="s">
        <v>1063</v>
      </c>
      <c r="D334" s="20" t="s">
        <v>385</v>
      </c>
      <c r="E334" s="20" t="s">
        <v>386</v>
      </c>
      <c r="F334" s="20" t="s">
        <v>401</v>
      </c>
      <c r="G334" s="33">
        <v>15</v>
      </c>
      <c r="H334" s="34">
        <f>VLOOKUP($C334,'Raw Cost'!$A$1:$B$484,2,FALSE)/G334</f>
        <v>2.1333333333333333</v>
      </c>
      <c r="I334" s="34">
        <f t="shared" si="121"/>
        <v>0.13333333333333333</v>
      </c>
      <c r="J334" s="35">
        <v>6.25</v>
      </c>
      <c r="K334" s="35">
        <v>0.25</v>
      </c>
      <c r="L334" s="36">
        <f>VLOOKUP($F334,'Packaging Cost'!$A$1:$F$43,6,FALSE)</f>
        <v>2.6</v>
      </c>
      <c r="M334" s="37">
        <f>IF($E334="Snakpak",(($J334*H334)+($K334*'Labor Cost'!$A$2)+L334)+2.25,($J334*H334)+($K334*'Labor Cost'!$A$2)+L334+1)</f>
        <v>24.058333333333337</v>
      </c>
      <c r="N334" s="38">
        <f t="shared" si="122"/>
        <v>46.072916666666671</v>
      </c>
      <c r="O334" s="38">
        <f t="shared" si="123"/>
        <v>47.275833333333338</v>
      </c>
      <c r="P334" s="38">
        <f t="shared" si="124"/>
        <v>48.478750000000005</v>
      </c>
      <c r="Q334" s="38">
        <f t="shared" si="125"/>
        <v>49.681666666666672</v>
      </c>
      <c r="R334" s="38">
        <f t="shared" si="126"/>
        <v>50.884583333333339</v>
      </c>
      <c r="S334" s="38">
        <f t="shared" si="127"/>
        <v>46</v>
      </c>
      <c r="T334" s="38">
        <f t="shared" si="128"/>
        <v>47.25</v>
      </c>
      <c r="U334" s="38">
        <f t="shared" si="129"/>
        <v>48.5</v>
      </c>
      <c r="V334" s="38">
        <f t="shared" si="130"/>
        <v>49.75</v>
      </c>
      <c r="W334" s="38">
        <f t="shared" si="131"/>
        <v>51</v>
      </c>
    </row>
    <row r="335" spans="1:23" ht="21" customHeight="1" x14ac:dyDescent="0.2">
      <c r="A335" s="19" t="s">
        <v>1062</v>
      </c>
      <c r="B335" s="19" t="s">
        <v>344</v>
      </c>
      <c r="C335" s="20" t="s">
        <v>1063</v>
      </c>
      <c r="D335" s="20" t="s">
        <v>384</v>
      </c>
      <c r="E335" s="20" t="s">
        <v>386</v>
      </c>
      <c r="F335" s="20" t="s">
        <v>401</v>
      </c>
      <c r="G335" s="33">
        <v>15</v>
      </c>
      <c r="H335" s="34">
        <f>VLOOKUP($C335,'Raw Cost'!$A$1:$B$484,2,FALSE)/G335</f>
        <v>2.1333333333333333</v>
      </c>
      <c r="I335" s="34">
        <f t="shared" si="121"/>
        <v>0.13333333333333333</v>
      </c>
      <c r="J335" s="35">
        <v>6.25</v>
      </c>
      <c r="K335" s="35">
        <v>0.25</v>
      </c>
      <c r="L335" s="36">
        <f>VLOOKUP($F335,'Packaging Cost'!$A$1:$F$43,6,FALSE)</f>
        <v>2.6</v>
      </c>
      <c r="M335" s="37">
        <f>IF($E335="Snakpak",(($J335*H335)+($K335*'Labor Cost'!$A$2)+L335)+2.25,($J335*H335)+($K335*'Labor Cost'!$A$2)+L335+1)</f>
        <v>24.058333333333337</v>
      </c>
      <c r="N335" s="38">
        <f t="shared" si="122"/>
        <v>30.072916666666671</v>
      </c>
      <c r="O335" s="38">
        <f t="shared" si="123"/>
        <v>31.275833333333338</v>
      </c>
      <c r="P335" s="38">
        <f t="shared" si="124"/>
        <v>32.478750000000005</v>
      </c>
      <c r="Q335" s="38">
        <f t="shared" si="125"/>
        <v>33.681666666666672</v>
      </c>
      <c r="R335" s="38">
        <f t="shared" si="126"/>
        <v>34.884583333333339</v>
      </c>
      <c r="S335" s="38">
        <f t="shared" si="127"/>
        <v>30</v>
      </c>
      <c r="T335" s="38">
        <f t="shared" si="128"/>
        <v>31.25</v>
      </c>
      <c r="U335" s="38">
        <f t="shared" si="129"/>
        <v>32.5</v>
      </c>
      <c r="V335" s="38">
        <f t="shared" si="130"/>
        <v>33.75</v>
      </c>
      <c r="W335" s="38">
        <f t="shared" si="131"/>
        <v>35</v>
      </c>
    </row>
    <row r="336" spans="1:23" ht="21" customHeight="1" x14ac:dyDescent="0.2">
      <c r="A336" s="19" t="s">
        <v>164</v>
      </c>
      <c r="B336" s="19" t="s">
        <v>342</v>
      </c>
      <c r="C336" s="32" t="s">
        <v>59</v>
      </c>
      <c r="D336" s="20" t="s">
        <v>384</v>
      </c>
      <c r="E336" s="20" t="s">
        <v>386</v>
      </c>
      <c r="F336" s="20" t="s">
        <v>401</v>
      </c>
      <c r="G336" s="33">
        <v>7</v>
      </c>
      <c r="H336" s="34">
        <f>VLOOKUP($C336,'Raw Cost'!$A$1:$B$484,2,FALSE)/G336</f>
        <v>2.2857142857142856</v>
      </c>
      <c r="I336" s="34">
        <f t="shared" si="121"/>
        <v>0.14285714285714285</v>
      </c>
      <c r="J336" s="35">
        <v>6.25</v>
      </c>
      <c r="K336" s="35">
        <v>0.25</v>
      </c>
      <c r="L336" s="36">
        <f>VLOOKUP($F336,'Packaging Cost'!$A$1:$F$43,6,FALSE)</f>
        <v>2.6</v>
      </c>
      <c r="M336" s="37">
        <f>IF($E336="Snakpak",(($J336*H336)+($K336*'Labor Cost'!$A$2)+L336)+2.25,($J336*H336)+($K336*'Labor Cost'!$A$2)+L336+1)</f>
        <v>25.010714285714286</v>
      </c>
      <c r="N336" s="38">
        <f t="shared" si="122"/>
        <v>31.263392857142858</v>
      </c>
      <c r="O336" s="38">
        <f t="shared" si="123"/>
        <v>32.513928571428572</v>
      </c>
      <c r="P336" s="38">
        <f t="shared" si="124"/>
        <v>33.76446428571429</v>
      </c>
      <c r="Q336" s="38">
        <f t="shared" si="125"/>
        <v>35.015000000000001</v>
      </c>
      <c r="R336" s="38">
        <f t="shared" si="126"/>
        <v>36.265535714285711</v>
      </c>
      <c r="S336" s="38">
        <f t="shared" si="127"/>
        <v>31.25</v>
      </c>
      <c r="T336" s="38">
        <f t="shared" si="128"/>
        <v>32.5</v>
      </c>
      <c r="U336" s="38">
        <f t="shared" si="129"/>
        <v>33.75</v>
      </c>
      <c r="V336" s="38">
        <f t="shared" si="130"/>
        <v>35</v>
      </c>
      <c r="W336" s="38">
        <f t="shared" si="131"/>
        <v>36.25</v>
      </c>
    </row>
    <row r="337" spans="1:23" ht="21" customHeight="1" x14ac:dyDescent="0.2">
      <c r="A337" s="19" t="s">
        <v>170</v>
      </c>
      <c r="B337" s="19" t="s">
        <v>353</v>
      </c>
      <c r="C337" s="20" t="s">
        <v>55</v>
      </c>
      <c r="D337" s="20" t="s">
        <v>384</v>
      </c>
      <c r="E337" s="20" t="s">
        <v>386</v>
      </c>
      <c r="F337" s="20" t="s">
        <v>401</v>
      </c>
      <c r="G337" s="33">
        <v>15</v>
      </c>
      <c r="H337" s="34">
        <f>VLOOKUP($C337,'Raw Cost'!$A$1:$B$484,2,FALSE)/G337</f>
        <v>1.3333333333333333</v>
      </c>
      <c r="I337" s="34">
        <f t="shared" si="121"/>
        <v>8.3333333333333329E-2</v>
      </c>
      <c r="J337" s="35">
        <v>6.25</v>
      </c>
      <c r="K337" s="35">
        <v>0.3</v>
      </c>
      <c r="L337" s="36">
        <f>VLOOKUP($F337,'Packaging Cost'!$A$1:$F$43,6,FALSE)</f>
        <v>2.6</v>
      </c>
      <c r="M337" s="37">
        <f>IF($E337="Snakpak",(($J337*H337)+($K337*'Labor Cost'!$A$2)+L337)+2.25,($J337*H337)+($K337*'Labor Cost'!$A$2)+L337+1)</f>
        <v>20.233333333333334</v>
      </c>
      <c r="N337" s="38">
        <f t="shared" si="122"/>
        <v>25.291666666666668</v>
      </c>
      <c r="O337" s="38">
        <f t="shared" si="123"/>
        <v>26.303333333333335</v>
      </c>
      <c r="P337" s="38">
        <f t="shared" si="124"/>
        <v>27.315000000000005</v>
      </c>
      <c r="Q337" s="38">
        <f t="shared" si="125"/>
        <v>28.326666666666664</v>
      </c>
      <c r="R337" s="38">
        <f t="shared" si="126"/>
        <v>29.338333333333335</v>
      </c>
      <c r="S337" s="38">
        <f t="shared" si="127"/>
        <v>25.25</v>
      </c>
      <c r="T337" s="38">
        <f t="shared" si="128"/>
        <v>26.25</v>
      </c>
      <c r="U337" s="38">
        <f t="shared" si="129"/>
        <v>27.25</v>
      </c>
      <c r="V337" s="38">
        <f t="shared" si="130"/>
        <v>28.25</v>
      </c>
      <c r="W337" s="38">
        <f t="shared" si="131"/>
        <v>29.25</v>
      </c>
    </row>
    <row r="338" spans="1:23" ht="21" customHeight="1" x14ac:dyDescent="0.2">
      <c r="A338" s="19" t="s">
        <v>171</v>
      </c>
      <c r="B338" s="19" t="s">
        <v>354</v>
      </c>
      <c r="C338" s="20" t="s">
        <v>55</v>
      </c>
      <c r="D338" s="20" t="s">
        <v>385</v>
      </c>
      <c r="E338" s="20" t="s">
        <v>386</v>
      </c>
      <c r="F338" s="20" t="s">
        <v>401</v>
      </c>
      <c r="G338" s="33">
        <v>15</v>
      </c>
      <c r="H338" s="34">
        <f>VLOOKUP($C338,'Raw Cost'!$A$1:$B$484,2,FALSE)/G338</f>
        <v>1.3333333333333333</v>
      </c>
      <c r="I338" s="34">
        <f t="shared" si="121"/>
        <v>8.3333333333333329E-2</v>
      </c>
      <c r="J338" s="35">
        <v>6.25</v>
      </c>
      <c r="K338" s="35">
        <v>0.3</v>
      </c>
      <c r="L338" s="36">
        <f>VLOOKUP($F338,'Packaging Cost'!$A$1:$F$43,6,FALSE)</f>
        <v>2.6</v>
      </c>
      <c r="M338" s="37">
        <f>IF($E338="Snakpak",(($J338*H338)+($K338*'Labor Cost'!$A$2)+L338)+2.25,($J338*H338)+($K338*'Labor Cost'!$A$2)+L338+1)</f>
        <v>20.233333333333334</v>
      </c>
      <c r="N338" s="38">
        <f t="shared" si="122"/>
        <v>41.291666666666671</v>
      </c>
      <c r="O338" s="38">
        <f t="shared" si="123"/>
        <v>42.303333333333335</v>
      </c>
      <c r="P338" s="38">
        <f t="shared" si="124"/>
        <v>43.315000000000005</v>
      </c>
      <c r="Q338" s="38">
        <f t="shared" si="125"/>
        <v>44.326666666666668</v>
      </c>
      <c r="R338" s="38">
        <f t="shared" si="126"/>
        <v>45.338333333333338</v>
      </c>
      <c r="S338" s="38">
        <f t="shared" si="127"/>
        <v>41.25</v>
      </c>
      <c r="T338" s="38">
        <f t="shared" si="128"/>
        <v>42.25</v>
      </c>
      <c r="U338" s="38">
        <f t="shared" si="129"/>
        <v>43.25</v>
      </c>
      <c r="V338" s="38">
        <f t="shared" si="130"/>
        <v>44.25</v>
      </c>
      <c r="W338" s="38">
        <f t="shared" si="131"/>
        <v>45.25</v>
      </c>
    </row>
    <row r="339" spans="1:23" ht="21" customHeight="1" x14ac:dyDescent="0.2">
      <c r="A339" s="19"/>
      <c r="B339" s="19"/>
      <c r="C339" s="32"/>
      <c r="D339" s="20"/>
      <c r="E339" s="20"/>
      <c r="F339" s="20"/>
      <c r="G339" s="33"/>
      <c r="H339" s="34"/>
      <c r="I339" s="34"/>
      <c r="J339" s="35"/>
      <c r="K339" s="35"/>
      <c r="L339" s="36"/>
      <c r="M339" s="37"/>
      <c r="N339" s="38"/>
      <c r="O339" s="38"/>
      <c r="P339" s="38"/>
      <c r="Q339" s="38"/>
      <c r="R339" s="38"/>
      <c r="S339" s="38"/>
      <c r="T339" s="38"/>
      <c r="U339" s="38"/>
      <c r="V339" s="66"/>
      <c r="W339" s="66"/>
    </row>
    <row r="340" spans="1:23" ht="21" customHeight="1" x14ac:dyDescent="0.2">
      <c r="A340" s="40"/>
      <c r="B340" s="40"/>
      <c r="C340" s="40"/>
      <c r="D340" s="40"/>
      <c r="E340" s="40"/>
      <c r="F340" s="40"/>
      <c r="G340" s="41"/>
      <c r="H340" s="42"/>
      <c r="I340" s="42"/>
      <c r="J340" s="43"/>
      <c r="K340" s="43"/>
      <c r="L340" s="44"/>
      <c r="M340" s="41"/>
      <c r="N340" s="81"/>
      <c r="O340" s="81"/>
      <c r="P340" s="81"/>
      <c r="Q340" s="81"/>
      <c r="R340" s="81"/>
      <c r="S340" s="43"/>
      <c r="T340" s="43"/>
      <c r="U340" s="43"/>
    </row>
    <row r="341" spans="1:23" ht="21" customHeight="1" x14ac:dyDescent="0.2">
      <c r="A341" s="45" t="s">
        <v>625</v>
      </c>
      <c r="B341" s="40"/>
      <c r="C341" s="40"/>
      <c r="D341" s="40"/>
      <c r="E341" s="40"/>
      <c r="F341" s="40"/>
      <c r="G341" s="41"/>
      <c r="H341" s="42"/>
      <c r="I341" s="42"/>
      <c r="J341" s="43"/>
      <c r="K341" s="43"/>
      <c r="L341" s="44"/>
      <c r="M341" s="41"/>
      <c r="N341" s="81"/>
      <c r="O341" s="81"/>
      <c r="P341" s="81"/>
      <c r="Q341" s="81"/>
      <c r="R341" s="81"/>
      <c r="S341" s="43"/>
      <c r="T341" s="43"/>
      <c r="U341" s="43"/>
    </row>
    <row r="342" spans="1:23" ht="21" customHeight="1" x14ac:dyDescent="0.2">
      <c r="A342" s="19" t="s">
        <v>1266</v>
      </c>
      <c r="B342" s="19" t="s">
        <v>185</v>
      </c>
      <c r="C342" s="32" t="s">
        <v>3</v>
      </c>
      <c r="D342" s="20" t="s">
        <v>384</v>
      </c>
      <c r="E342" s="20" t="s">
        <v>388</v>
      </c>
      <c r="F342" s="20" t="s">
        <v>1071</v>
      </c>
      <c r="G342" s="33">
        <v>12</v>
      </c>
      <c r="H342" s="34">
        <f>VLOOKUP($C342,'Raw Cost'!$A$1:$B$484,2,FALSE)/G342</f>
        <v>1.8333333333333333</v>
      </c>
      <c r="I342" s="34">
        <f t="shared" ref="I342:I345" si="132">H342/16</f>
        <v>0.11458333333333333</v>
      </c>
      <c r="J342" s="35">
        <v>4</v>
      </c>
      <c r="K342" s="35">
        <v>0.25</v>
      </c>
      <c r="L342" s="36">
        <f>VLOOKUP($F342,'Packaging Cost'!$A$1:$F$43,6,FALSE)</f>
        <v>0.67999999999999994</v>
      </c>
      <c r="M342" s="37">
        <f>IF($E342="Snakpak",(($J342*H342)+($K342*'Labor Cost'!$A$2)+L342)+2.25,($J342*H342)+($K342*'Labor Cost'!$A$2)+L342)</f>
        <v>13.888333333333332</v>
      </c>
      <c r="N342" s="38">
        <f t="shared" ref="N342:N343" si="133">IF($D342="No",$M342*1.25,($M342*1.25)+15)</f>
        <v>17.360416666666666</v>
      </c>
      <c r="O342" s="38">
        <f t="shared" ref="O342:O343" si="134">IF($D342="No",$M342*1.3,($M342*1.3)+15)</f>
        <v>18.054833333333331</v>
      </c>
      <c r="P342" s="38">
        <f t="shared" ref="P342:P343" si="135">IF($D342="No",$M342*1.35,($M342*1.35)+15)</f>
        <v>18.74925</v>
      </c>
      <c r="Q342" s="38">
        <f t="shared" ref="Q342:Q343" si="136">IF($D342="No",$M342*1.4,($M342*1.4)+15)</f>
        <v>19.443666666666662</v>
      </c>
      <c r="R342" s="38">
        <f t="shared" ref="R342:R343" si="137">IF($D342="No",$M342*1.45,($M342*1.45)+15)</f>
        <v>20.138083333333331</v>
      </c>
      <c r="S342" s="38">
        <f t="shared" ref="S342:U345" si="138">MROUND(N342,0.25)</f>
        <v>17.25</v>
      </c>
      <c r="T342" s="38">
        <f t="shared" si="138"/>
        <v>18</v>
      </c>
      <c r="U342" s="38">
        <f t="shared" si="138"/>
        <v>18.75</v>
      </c>
      <c r="V342" s="38">
        <f t="shared" ref="V342:V345" si="139">MROUND(Q342,0.25)</f>
        <v>19.5</v>
      </c>
    </row>
    <row r="343" spans="1:23" ht="21" customHeight="1" x14ac:dyDescent="0.2">
      <c r="A343" s="19" t="s">
        <v>1267</v>
      </c>
      <c r="B343" s="19" t="s">
        <v>214</v>
      </c>
      <c r="C343" s="32" t="s">
        <v>15</v>
      </c>
      <c r="D343" s="32" t="s">
        <v>384</v>
      </c>
      <c r="E343" s="20" t="s">
        <v>388</v>
      </c>
      <c r="F343" s="20" t="s">
        <v>1071</v>
      </c>
      <c r="G343" s="33">
        <v>33</v>
      </c>
      <c r="H343" s="34">
        <f>VLOOKUP($C343,'Raw Cost'!$A$1:$B$484,2,FALSE)/G343</f>
        <v>0.90909090909090906</v>
      </c>
      <c r="I343" s="34">
        <f t="shared" si="132"/>
        <v>5.6818181818181816E-2</v>
      </c>
      <c r="J343" s="35">
        <v>4</v>
      </c>
      <c r="K343" s="35">
        <v>0.25</v>
      </c>
      <c r="L343" s="36">
        <f>VLOOKUP($F343,'Packaging Cost'!$A$1:$F$43,6,FALSE)</f>
        <v>0.67999999999999994</v>
      </c>
      <c r="M343" s="37">
        <f>IF($E343="Snakpak",(($J343*H343)+($K343*'Labor Cost'!$A$2)+L343)+2.25,($J343*H343)+($K343*'Labor Cost'!$A$2)+L343)</f>
        <v>10.191363636363636</v>
      </c>
      <c r="N343" s="38">
        <f t="shared" si="133"/>
        <v>12.739204545454545</v>
      </c>
      <c r="O343" s="38">
        <f t="shared" si="134"/>
        <v>13.248772727272728</v>
      </c>
      <c r="P343" s="38">
        <f t="shared" si="135"/>
        <v>13.75834090909091</v>
      </c>
      <c r="Q343" s="38">
        <f t="shared" si="136"/>
        <v>14.26790909090909</v>
      </c>
      <c r="R343" s="38">
        <f t="shared" si="137"/>
        <v>14.777477272727273</v>
      </c>
      <c r="S343" s="38">
        <f t="shared" si="138"/>
        <v>12.75</v>
      </c>
      <c r="T343" s="38">
        <f t="shared" si="138"/>
        <v>13.25</v>
      </c>
      <c r="U343" s="38">
        <f t="shared" si="138"/>
        <v>13.75</v>
      </c>
      <c r="V343" s="38">
        <f t="shared" si="139"/>
        <v>14.25</v>
      </c>
    </row>
    <row r="344" spans="1:23" ht="21" customHeight="1" x14ac:dyDescent="0.2">
      <c r="A344" s="19" t="s">
        <v>1268</v>
      </c>
      <c r="B344" s="19" t="s">
        <v>197</v>
      </c>
      <c r="C344" s="32" t="s">
        <v>11</v>
      </c>
      <c r="D344" s="32" t="s">
        <v>384</v>
      </c>
      <c r="E344" s="20" t="s">
        <v>388</v>
      </c>
      <c r="F344" s="20" t="s">
        <v>1071</v>
      </c>
      <c r="G344" s="33">
        <v>33</v>
      </c>
      <c r="H344" s="34">
        <f>VLOOKUP($C344,'Raw Cost'!$A$1:$B$484,2,FALSE)/G344</f>
        <v>0.90909090909090906</v>
      </c>
      <c r="I344" s="34">
        <f t="shared" si="132"/>
        <v>5.6818181818181816E-2</v>
      </c>
      <c r="J344" s="35">
        <v>4</v>
      </c>
      <c r="K344" s="35">
        <v>0.25</v>
      </c>
      <c r="L344" s="36">
        <f>VLOOKUP($F344,'Packaging Cost'!$A$1:$F$43,6,FALSE)</f>
        <v>0.67999999999999994</v>
      </c>
      <c r="M344" s="37">
        <f>IF($E344="Snakpak",(($J344*H344)+($K344*'Labor Cost'!$A$2)+L344)+2.25,($J344*H344)+($K344*'Labor Cost'!$A$2)+L344)</f>
        <v>10.191363636363636</v>
      </c>
      <c r="N344" s="38">
        <f t="shared" ref="N344:N363" si="140">IF($D344="No",$M344*1.25,($M344*1.25)+15)</f>
        <v>12.739204545454545</v>
      </c>
      <c r="O344" s="38">
        <f t="shared" ref="O344:O363" si="141">IF($D344="No",$M344*1.3,($M344*1.3)+15)</f>
        <v>13.248772727272728</v>
      </c>
      <c r="P344" s="38">
        <f t="shared" ref="P344:P363" si="142">IF($D344="No",$M344*1.35,($M344*1.35)+15)</f>
        <v>13.75834090909091</v>
      </c>
      <c r="Q344" s="38">
        <f t="shared" ref="Q344:Q363" si="143">IF($D344="No",$M344*1.4,($M344*1.4)+15)</f>
        <v>14.26790909090909</v>
      </c>
      <c r="R344" s="38">
        <f t="shared" ref="R344:R363" si="144">IF($D344="No",$M344*1.45,($M344*1.45)+15)</f>
        <v>14.777477272727273</v>
      </c>
      <c r="S344" s="38">
        <f t="shared" si="138"/>
        <v>12.75</v>
      </c>
      <c r="T344" s="38">
        <f t="shared" si="138"/>
        <v>13.25</v>
      </c>
      <c r="U344" s="38">
        <f t="shared" si="138"/>
        <v>13.75</v>
      </c>
      <c r="V344" s="38">
        <f t="shared" si="139"/>
        <v>14.25</v>
      </c>
    </row>
    <row r="345" spans="1:23" ht="21" customHeight="1" x14ac:dyDescent="0.2">
      <c r="A345" s="19" t="s">
        <v>1269</v>
      </c>
      <c r="B345" s="19" t="s">
        <v>215</v>
      </c>
      <c r="C345" s="32" t="s">
        <v>14</v>
      </c>
      <c r="D345" s="32" t="s">
        <v>384</v>
      </c>
      <c r="E345" s="20" t="s">
        <v>388</v>
      </c>
      <c r="F345" s="20" t="s">
        <v>1071</v>
      </c>
      <c r="G345" s="33">
        <v>16</v>
      </c>
      <c r="H345" s="34">
        <f>VLOOKUP($C345,'Raw Cost'!$A$1:$B$484,2,FALSE)/G345</f>
        <v>2.3187500000000001</v>
      </c>
      <c r="I345" s="34">
        <f t="shared" si="132"/>
        <v>0.14492187500000001</v>
      </c>
      <c r="J345" s="35">
        <v>4</v>
      </c>
      <c r="K345" s="35">
        <v>0.25</v>
      </c>
      <c r="L345" s="36">
        <f>VLOOKUP($F345,'Packaging Cost'!$A$1:$F$43,6,FALSE)</f>
        <v>0.67999999999999994</v>
      </c>
      <c r="M345" s="37">
        <f>IF($E345="Snakpak",(($J345*H345)+($K345*'Labor Cost'!$A$2)+L345)+2.25,($J345*H345)+($K345*'Labor Cost'!$A$2)+L345)</f>
        <v>15.83</v>
      </c>
      <c r="N345" s="38">
        <f t="shared" si="140"/>
        <v>19.787500000000001</v>
      </c>
      <c r="O345" s="38">
        <f t="shared" si="141"/>
        <v>20.579000000000001</v>
      </c>
      <c r="P345" s="38">
        <f t="shared" si="142"/>
        <v>21.3705</v>
      </c>
      <c r="Q345" s="38">
        <f t="shared" si="143"/>
        <v>22.161999999999999</v>
      </c>
      <c r="R345" s="38">
        <f t="shared" si="144"/>
        <v>22.953499999999998</v>
      </c>
      <c r="S345" s="38">
        <f t="shared" si="138"/>
        <v>19.75</v>
      </c>
      <c r="T345" s="38">
        <f t="shared" si="138"/>
        <v>20.5</v>
      </c>
      <c r="U345" s="38">
        <f t="shared" si="138"/>
        <v>21.25</v>
      </c>
      <c r="V345" s="38">
        <f t="shared" si="139"/>
        <v>22.25</v>
      </c>
    </row>
    <row r="346" spans="1:23" ht="21" customHeight="1" x14ac:dyDescent="0.2">
      <c r="A346" s="19"/>
      <c r="B346" s="19"/>
      <c r="C346" s="32"/>
      <c r="D346" s="32"/>
      <c r="E346" s="20"/>
      <c r="F346" s="20"/>
      <c r="G346" s="33"/>
      <c r="H346" s="34"/>
      <c r="I346" s="34"/>
      <c r="J346" s="35"/>
      <c r="K346" s="35"/>
      <c r="L346" s="36"/>
      <c r="M346" s="37"/>
      <c r="N346" s="38">
        <f t="shared" si="140"/>
        <v>15</v>
      </c>
      <c r="O346" s="38">
        <f t="shared" si="141"/>
        <v>15</v>
      </c>
      <c r="P346" s="38">
        <f t="shared" si="142"/>
        <v>15</v>
      </c>
      <c r="Q346" s="38">
        <f t="shared" si="143"/>
        <v>15</v>
      </c>
      <c r="R346" s="38">
        <f t="shared" si="144"/>
        <v>15</v>
      </c>
      <c r="S346" s="38"/>
      <c r="T346" s="38"/>
      <c r="U346" s="38"/>
      <c r="V346" s="66"/>
    </row>
    <row r="347" spans="1:23" ht="21" customHeight="1" x14ac:dyDescent="0.2">
      <c r="A347" s="45" t="s">
        <v>1087</v>
      </c>
      <c r="B347" s="40"/>
      <c r="C347" s="40"/>
      <c r="D347" s="40"/>
      <c r="E347" s="40"/>
      <c r="F347" s="40"/>
      <c r="G347" s="41"/>
      <c r="H347" s="42"/>
      <c r="I347" s="42"/>
      <c r="J347" s="43"/>
      <c r="K347" s="43"/>
      <c r="L347" s="44"/>
      <c r="M347" s="41"/>
      <c r="N347" s="81"/>
      <c r="O347" s="81"/>
      <c r="P347" s="81"/>
      <c r="Q347" s="81"/>
      <c r="R347" s="81"/>
      <c r="S347" s="43"/>
      <c r="T347" s="43"/>
      <c r="U347" s="43"/>
    </row>
    <row r="348" spans="1:23" ht="21" customHeight="1" x14ac:dyDescent="0.2">
      <c r="A348" s="19" t="s">
        <v>1072</v>
      </c>
      <c r="B348" s="19" t="s">
        <v>247</v>
      </c>
      <c r="C348" s="20" t="s">
        <v>1</v>
      </c>
      <c r="D348" s="20" t="s">
        <v>384</v>
      </c>
      <c r="E348" s="20" t="s">
        <v>388</v>
      </c>
      <c r="F348" s="20" t="s">
        <v>419</v>
      </c>
      <c r="G348" s="33">
        <v>29</v>
      </c>
      <c r="H348" s="34">
        <f>VLOOKUP($C348,'Raw Cost'!$A$1:$B$484,2,FALSE)/G348</f>
        <v>1.5517241379310345</v>
      </c>
      <c r="I348" s="34">
        <f t="shared" ref="I348:I357" si="145">H348/16</f>
        <v>9.6982758620689655E-2</v>
      </c>
      <c r="J348" s="35">
        <v>4</v>
      </c>
      <c r="K348" s="35">
        <v>0.2</v>
      </c>
      <c r="L348" s="36">
        <f>VLOOKUP($F348,'Packaging Cost'!$A$1:$F$43,6,FALSE)</f>
        <v>3.0100000000000002</v>
      </c>
      <c r="M348" s="37">
        <f>IF($E348="Snakpak",(($J348*H348)+($K348*'Labor Cost'!$A$2)+L348),($J348*H348)+($K348*'Labor Cost'!$A$2)+L348)</f>
        <v>13.916896551724138</v>
      </c>
      <c r="N348" s="38">
        <f t="shared" si="140"/>
        <v>17.396120689655174</v>
      </c>
      <c r="O348" s="38">
        <f t="shared" si="141"/>
        <v>18.09196551724138</v>
      </c>
      <c r="P348" s="38">
        <f t="shared" si="142"/>
        <v>18.787810344827587</v>
      </c>
      <c r="Q348" s="38">
        <f t="shared" si="143"/>
        <v>19.483655172413791</v>
      </c>
      <c r="R348" s="38">
        <f t="shared" si="144"/>
        <v>20.179500000000001</v>
      </c>
      <c r="S348" s="38">
        <f t="shared" ref="S348:S362" si="146">MROUND(N348,0.25)</f>
        <v>17.5</v>
      </c>
      <c r="T348" s="38">
        <f t="shared" ref="T348:T362" si="147">MROUND(O348,0.25)</f>
        <v>18</v>
      </c>
      <c r="U348" s="38">
        <f t="shared" ref="U348:U362" si="148">MROUND(P348,0.25)</f>
        <v>18.75</v>
      </c>
      <c r="V348" s="38">
        <f t="shared" ref="V348:V357" si="149">MROUND(Q348,0.25)</f>
        <v>19.5</v>
      </c>
    </row>
    <row r="349" spans="1:23" ht="21" customHeight="1" x14ac:dyDescent="0.2">
      <c r="A349" s="19" t="s">
        <v>1073</v>
      </c>
      <c r="B349" s="19" t="s">
        <v>244</v>
      </c>
      <c r="C349" s="20" t="s">
        <v>0</v>
      </c>
      <c r="D349" s="20" t="s">
        <v>384</v>
      </c>
      <c r="E349" s="20" t="s">
        <v>388</v>
      </c>
      <c r="F349" s="20" t="s">
        <v>419</v>
      </c>
      <c r="G349" s="33">
        <v>29</v>
      </c>
      <c r="H349" s="34">
        <f>VLOOKUP($C349,'Raw Cost'!$A$1:$B$484,2,FALSE)/G349</f>
        <v>1.3103448275862069</v>
      </c>
      <c r="I349" s="34">
        <f t="shared" si="145"/>
        <v>8.1896551724137928E-2</v>
      </c>
      <c r="J349" s="35">
        <v>4</v>
      </c>
      <c r="K349" s="35">
        <v>0.2</v>
      </c>
      <c r="L349" s="36">
        <f>VLOOKUP($F349,'Packaging Cost'!$A$1:$F$43,6,FALSE)</f>
        <v>3.0100000000000002</v>
      </c>
      <c r="M349" s="37">
        <f>IF($E349="Snakpak",(($J349*H349)+($K349*'Labor Cost'!$A$2)+L349),($J349*H349)+($K349*'Labor Cost'!$A$2)+L349)</f>
        <v>12.951379310344828</v>
      </c>
      <c r="N349" s="38">
        <f t="shared" si="140"/>
        <v>16.189224137931035</v>
      </c>
      <c r="O349" s="38">
        <f t="shared" si="141"/>
        <v>16.836793103448276</v>
      </c>
      <c r="P349" s="38">
        <f t="shared" si="142"/>
        <v>17.48436206896552</v>
      </c>
      <c r="Q349" s="38">
        <f t="shared" si="143"/>
        <v>18.131931034482758</v>
      </c>
      <c r="R349" s="38">
        <f t="shared" si="144"/>
        <v>18.779499999999999</v>
      </c>
      <c r="S349" s="38">
        <f t="shared" si="146"/>
        <v>16.25</v>
      </c>
      <c r="T349" s="38">
        <f t="shared" si="147"/>
        <v>16.75</v>
      </c>
      <c r="U349" s="38">
        <f t="shared" si="148"/>
        <v>17.5</v>
      </c>
      <c r="V349" s="38">
        <f t="shared" si="149"/>
        <v>18.25</v>
      </c>
    </row>
    <row r="350" spans="1:23" ht="21" customHeight="1" x14ac:dyDescent="0.2">
      <c r="A350" s="19" t="s">
        <v>1074</v>
      </c>
      <c r="B350" s="19" t="s">
        <v>180</v>
      </c>
      <c r="C350" s="20" t="s">
        <v>396</v>
      </c>
      <c r="D350" s="20" t="s">
        <v>384</v>
      </c>
      <c r="E350" s="20" t="s">
        <v>388</v>
      </c>
      <c r="F350" s="20" t="s">
        <v>419</v>
      </c>
      <c r="G350" s="33">
        <v>9</v>
      </c>
      <c r="H350" s="34">
        <f>VLOOKUP($C350,'Raw Cost'!$A$1:$B$484,2,FALSE)/G350</f>
        <v>8</v>
      </c>
      <c r="I350" s="34">
        <f t="shared" si="145"/>
        <v>0.5</v>
      </c>
      <c r="J350" s="35">
        <v>4</v>
      </c>
      <c r="K350" s="35">
        <v>0.2</v>
      </c>
      <c r="L350" s="36">
        <f>VLOOKUP($F350,'Packaging Cost'!$A$1:$F$43,6,FALSE)</f>
        <v>3.0100000000000002</v>
      </c>
      <c r="M350" s="37">
        <f>IF($E350="Snakpak",(($J350*H350)+($K350*'Labor Cost'!$A$2)+L350),($J350*H350)+($K350*'Labor Cost'!$A$2)+L350)</f>
        <v>39.71</v>
      </c>
      <c r="N350" s="38">
        <f t="shared" si="140"/>
        <v>49.637500000000003</v>
      </c>
      <c r="O350" s="38">
        <f t="shared" si="141"/>
        <v>51.623000000000005</v>
      </c>
      <c r="P350" s="38">
        <f t="shared" si="142"/>
        <v>53.608500000000006</v>
      </c>
      <c r="Q350" s="38">
        <f t="shared" si="143"/>
        <v>55.594000000000001</v>
      </c>
      <c r="R350" s="38">
        <f t="shared" si="144"/>
        <v>57.579500000000003</v>
      </c>
      <c r="S350" s="38">
        <f t="shared" si="146"/>
        <v>49.75</v>
      </c>
      <c r="T350" s="38">
        <f t="shared" si="147"/>
        <v>51.5</v>
      </c>
      <c r="U350" s="38">
        <f t="shared" si="148"/>
        <v>53.5</v>
      </c>
      <c r="V350" s="38">
        <f t="shared" si="149"/>
        <v>55.5</v>
      </c>
    </row>
    <row r="351" spans="1:23" ht="21" customHeight="1" x14ac:dyDescent="0.2">
      <c r="A351" s="19" t="s">
        <v>1075</v>
      </c>
      <c r="B351" s="19" t="s">
        <v>192</v>
      </c>
      <c r="C351" s="20" t="s">
        <v>10</v>
      </c>
      <c r="D351" s="20" t="s">
        <v>384</v>
      </c>
      <c r="E351" s="20" t="s">
        <v>388</v>
      </c>
      <c r="F351" s="20" t="s">
        <v>419</v>
      </c>
      <c r="G351" s="33">
        <v>18</v>
      </c>
      <c r="H351" s="34">
        <f>VLOOKUP($C351,'Raw Cost'!$A$1:$B$484,2,FALSE)/G351</f>
        <v>1.1111111111111112</v>
      </c>
      <c r="I351" s="34">
        <f t="shared" si="145"/>
        <v>6.9444444444444448E-2</v>
      </c>
      <c r="J351" s="35">
        <v>4</v>
      </c>
      <c r="K351" s="35">
        <v>0.2</v>
      </c>
      <c r="L351" s="36">
        <f>VLOOKUP($F351,'Packaging Cost'!$A$1:$F$43,6,FALSE)</f>
        <v>3.0100000000000002</v>
      </c>
      <c r="M351" s="37">
        <f>IF($E351="Snakpak",(($J351*H351)+($K351*'Labor Cost'!$A$2)+L351),($J351*H351)+($K351*'Labor Cost'!$A$2)+L351)</f>
        <v>12.154444444444445</v>
      </c>
      <c r="N351" s="38">
        <f t="shared" si="140"/>
        <v>15.193055555555556</v>
      </c>
      <c r="O351" s="38">
        <f t="shared" si="141"/>
        <v>15.80077777777778</v>
      </c>
      <c r="P351" s="38">
        <f t="shared" si="142"/>
        <v>16.408500000000004</v>
      </c>
      <c r="Q351" s="38">
        <f t="shared" si="143"/>
        <v>17.016222222222222</v>
      </c>
      <c r="R351" s="38">
        <f t="shared" si="144"/>
        <v>17.623944444444444</v>
      </c>
      <c r="S351" s="38">
        <f t="shared" si="146"/>
        <v>15.25</v>
      </c>
      <c r="T351" s="38">
        <f t="shared" si="147"/>
        <v>15.75</v>
      </c>
      <c r="U351" s="38">
        <f t="shared" si="148"/>
        <v>16.5</v>
      </c>
      <c r="V351" s="38">
        <f t="shared" si="149"/>
        <v>17</v>
      </c>
    </row>
    <row r="352" spans="1:23" ht="21" customHeight="1" x14ac:dyDescent="0.2">
      <c r="A352" s="19" t="s">
        <v>1076</v>
      </c>
      <c r="B352" s="19" t="s">
        <v>243</v>
      </c>
      <c r="C352" s="20" t="s">
        <v>18</v>
      </c>
      <c r="D352" s="20" t="s">
        <v>384</v>
      </c>
      <c r="E352" s="20" t="s">
        <v>388</v>
      </c>
      <c r="F352" s="20" t="s">
        <v>419</v>
      </c>
      <c r="G352" s="33">
        <v>18</v>
      </c>
      <c r="H352" s="34">
        <f>VLOOKUP($C352,'Raw Cost'!$A$1:$B$484,2,FALSE)/G352</f>
        <v>2.0555555555555554</v>
      </c>
      <c r="I352" s="34">
        <f t="shared" si="145"/>
        <v>0.12847222222222221</v>
      </c>
      <c r="J352" s="35">
        <v>4</v>
      </c>
      <c r="K352" s="35">
        <v>0.2</v>
      </c>
      <c r="L352" s="36">
        <f>VLOOKUP($F352,'Packaging Cost'!$A$1:$F$43,6,FALSE)</f>
        <v>3.0100000000000002</v>
      </c>
      <c r="M352" s="37">
        <f>IF($E352="Snakpak",(($J352*H352)+($K352*'Labor Cost'!$A$2)+L352)+2.25,($J352*H352)+($K352*'Labor Cost'!$A$2)+L352)</f>
        <v>15.932222222222221</v>
      </c>
      <c r="N352" s="38">
        <f t="shared" si="140"/>
        <v>19.915277777777774</v>
      </c>
      <c r="O352" s="38">
        <f t="shared" si="141"/>
        <v>20.711888888888886</v>
      </c>
      <c r="P352" s="38">
        <f t="shared" si="142"/>
        <v>21.508499999999998</v>
      </c>
      <c r="Q352" s="38">
        <f t="shared" si="143"/>
        <v>22.305111111111106</v>
      </c>
      <c r="R352" s="38">
        <f t="shared" si="144"/>
        <v>23.101722222222218</v>
      </c>
      <c r="S352" s="38">
        <f t="shared" si="146"/>
        <v>20</v>
      </c>
      <c r="T352" s="38">
        <f t="shared" si="147"/>
        <v>20.75</v>
      </c>
      <c r="U352" s="38">
        <f t="shared" si="148"/>
        <v>21.5</v>
      </c>
      <c r="V352" s="38">
        <f t="shared" si="149"/>
        <v>22.25</v>
      </c>
    </row>
    <row r="353" spans="1:22" ht="21" customHeight="1" x14ac:dyDescent="0.2">
      <c r="A353" s="19" t="s">
        <v>1077</v>
      </c>
      <c r="B353" s="19" t="s">
        <v>1109</v>
      </c>
      <c r="C353" s="20" t="s">
        <v>19</v>
      </c>
      <c r="D353" s="20" t="s">
        <v>384</v>
      </c>
      <c r="E353" s="20" t="s">
        <v>388</v>
      </c>
      <c r="F353" s="20" t="s">
        <v>419</v>
      </c>
      <c r="G353" s="33">
        <v>18</v>
      </c>
      <c r="H353" s="34">
        <f>VLOOKUP($C353,'Raw Cost'!$A$1:$B$484,2,FALSE)/G353</f>
        <v>2.5</v>
      </c>
      <c r="I353" s="34">
        <f t="shared" si="145"/>
        <v>0.15625</v>
      </c>
      <c r="J353" s="35">
        <v>4</v>
      </c>
      <c r="K353" s="35">
        <v>0.2</v>
      </c>
      <c r="L353" s="36">
        <f>VLOOKUP($F353,'Packaging Cost'!$A$1:$F$43,6,FALSE)</f>
        <v>3.0100000000000002</v>
      </c>
      <c r="M353" s="37">
        <f>IF($E353="Snakpak",(($J353*H353)+($K353*'Labor Cost'!$A$2)+L353)+2.25,($J353*H353)+($K353*'Labor Cost'!$A$2)+L353)</f>
        <v>17.71</v>
      </c>
      <c r="N353" s="38">
        <f t="shared" si="140"/>
        <v>22.137500000000003</v>
      </c>
      <c r="O353" s="38">
        <f t="shared" si="141"/>
        <v>23.023000000000003</v>
      </c>
      <c r="P353" s="38">
        <f t="shared" si="142"/>
        <v>23.908500000000004</v>
      </c>
      <c r="Q353" s="38">
        <f t="shared" si="143"/>
        <v>24.794</v>
      </c>
      <c r="R353" s="38">
        <f t="shared" si="144"/>
        <v>25.679500000000001</v>
      </c>
      <c r="S353" s="38">
        <f t="shared" si="146"/>
        <v>22.25</v>
      </c>
      <c r="T353" s="38">
        <f t="shared" si="147"/>
        <v>23</v>
      </c>
      <c r="U353" s="38">
        <f t="shared" si="148"/>
        <v>24</v>
      </c>
      <c r="V353" s="38">
        <f t="shared" si="149"/>
        <v>24.75</v>
      </c>
    </row>
    <row r="354" spans="1:22" ht="21" customHeight="1" x14ac:dyDescent="0.2">
      <c r="A354" s="19" t="s">
        <v>1078</v>
      </c>
      <c r="B354" s="19" t="s">
        <v>250</v>
      </c>
      <c r="C354" s="20" t="s">
        <v>20</v>
      </c>
      <c r="D354" s="20" t="s">
        <v>384</v>
      </c>
      <c r="E354" s="20" t="s">
        <v>388</v>
      </c>
      <c r="F354" s="20" t="s">
        <v>419</v>
      </c>
      <c r="G354" s="33">
        <v>15</v>
      </c>
      <c r="H354" s="34">
        <f>VLOOKUP($C354,'Raw Cost'!$A$1:$B$484,2,FALSE)/G354</f>
        <v>1.7333333333333334</v>
      </c>
      <c r="I354" s="34">
        <f t="shared" si="145"/>
        <v>0.10833333333333334</v>
      </c>
      <c r="J354" s="35">
        <v>4</v>
      </c>
      <c r="K354" s="35">
        <v>0.2</v>
      </c>
      <c r="L354" s="36">
        <f>VLOOKUP($F354,'Packaging Cost'!$A$1:$F$43,6,FALSE)</f>
        <v>3.0100000000000002</v>
      </c>
      <c r="M354" s="37">
        <f>IF($E354="Snakpak",(($J354*H354)+($K354*'Labor Cost'!$A$2)+L354)+2.25,($J354*H354)+($K354*'Labor Cost'!$A$2)+L354)</f>
        <v>14.643333333333333</v>
      </c>
      <c r="N354" s="38">
        <f t="shared" si="140"/>
        <v>18.304166666666667</v>
      </c>
      <c r="O354" s="38">
        <f t="shared" si="141"/>
        <v>19.036333333333332</v>
      </c>
      <c r="P354" s="38">
        <f t="shared" si="142"/>
        <v>19.7685</v>
      </c>
      <c r="Q354" s="38">
        <f t="shared" si="143"/>
        <v>20.500666666666664</v>
      </c>
      <c r="R354" s="38">
        <f t="shared" si="144"/>
        <v>21.232833333333332</v>
      </c>
      <c r="S354" s="38">
        <f t="shared" si="146"/>
        <v>18.25</v>
      </c>
      <c r="T354" s="38">
        <f t="shared" si="147"/>
        <v>19</v>
      </c>
      <c r="U354" s="38">
        <f t="shared" si="148"/>
        <v>19.75</v>
      </c>
      <c r="V354" s="38">
        <f t="shared" si="149"/>
        <v>20.5</v>
      </c>
    </row>
    <row r="355" spans="1:22" ht="21" customHeight="1" x14ac:dyDescent="0.2">
      <c r="A355" s="19" t="s">
        <v>1079</v>
      </c>
      <c r="B355" s="19" t="s">
        <v>1110</v>
      </c>
      <c r="C355" s="20" t="s">
        <v>23</v>
      </c>
      <c r="D355" s="20" t="s">
        <v>384</v>
      </c>
      <c r="E355" s="20" t="s">
        <v>388</v>
      </c>
      <c r="F355" s="20" t="s">
        <v>419</v>
      </c>
      <c r="G355" s="33">
        <v>19</v>
      </c>
      <c r="H355" s="34">
        <f>VLOOKUP($C355,'Raw Cost'!$A$1:$B$484,2,FALSE)/G355</f>
        <v>2.2105263157894739</v>
      </c>
      <c r="I355" s="34">
        <f t="shared" si="145"/>
        <v>0.13815789473684212</v>
      </c>
      <c r="J355" s="35">
        <v>4</v>
      </c>
      <c r="K355" s="35">
        <v>0.2</v>
      </c>
      <c r="L355" s="36">
        <f>VLOOKUP($F355,'Packaging Cost'!$A$1:$F$43,6,FALSE)</f>
        <v>3.0100000000000002</v>
      </c>
      <c r="M355" s="37">
        <f>IF($E355="Snakpak",(($J355*H355)+($K355*'Labor Cost'!$A$2)+L355)+2.25,($J355*H355)+($K355*'Labor Cost'!$A$2)+L355)</f>
        <v>16.552105263157898</v>
      </c>
      <c r="N355" s="38">
        <f t="shared" si="140"/>
        <v>20.690131578947373</v>
      </c>
      <c r="O355" s="38">
        <f t="shared" si="141"/>
        <v>21.517736842105268</v>
      </c>
      <c r="P355" s="38">
        <f t="shared" si="142"/>
        <v>22.345342105263164</v>
      </c>
      <c r="Q355" s="38">
        <f t="shared" si="143"/>
        <v>23.172947368421056</v>
      </c>
      <c r="R355" s="38">
        <f t="shared" si="144"/>
        <v>24.000552631578952</v>
      </c>
      <c r="S355" s="38">
        <f t="shared" si="146"/>
        <v>20.75</v>
      </c>
      <c r="T355" s="38">
        <f t="shared" si="147"/>
        <v>21.5</v>
      </c>
      <c r="U355" s="38">
        <f t="shared" si="148"/>
        <v>22.25</v>
      </c>
      <c r="V355" s="38">
        <f t="shared" si="149"/>
        <v>23.25</v>
      </c>
    </row>
    <row r="356" spans="1:22" ht="21" customHeight="1" x14ac:dyDescent="0.2">
      <c r="A356" s="19" t="s">
        <v>1080</v>
      </c>
      <c r="B356" s="19" t="s">
        <v>264</v>
      </c>
      <c r="C356" s="20" t="s">
        <v>25</v>
      </c>
      <c r="D356" s="20" t="s">
        <v>384</v>
      </c>
      <c r="E356" s="20" t="s">
        <v>388</v>
      </c>
      <c r="F356" s="20" t="s">
        <v>419</v>
      </c>
      <c r="G356" s="33">
        <v>6</v>
      </c>
      <c r="H356" s="34">
        <f>VLOOKUP($C356,'Raw Cost'!$A$1:$B$484,2,FALSE)/G356</f>
        <v>2.3333333333333335</v>
      </c>
      <c r="I356" s="34">
        <f t="shared" si="145"/>
        <v>0.14583333333333334</v>
      </c>
      <c r="J356" s="35">
        <v>4</v>
      </c>
      <c r="K356" s="35">
        <v>0.2</v>
      </c>
      <c r="L356" s="36">
        <f>VLOOKUP($F356,'Packaging Cost'!$A$1:$F$43,6,FALSE)</f>
        <v>3.0100000000000002</v>
      </c>
      <c r="M356" s="37">
        <f>IF($E356="Snakpak",(($J356*H356)+($K356*'Labor Cost'!$A$2)+L356)+2.25,($J356*H356)+($K356*'Labor Cost'!$A$2)+L356)</f>
        <v>17.043333333333337</v>
      </c>
      <c r="N356" s="38">
        <f t="shared" si="140"/>
        <v>21.304166666666671</v>
      </c>
      <c r="O356" s="38">
        <f t="shared" si="141"/>
        <v>22.15633333333334</v>
      </c>
      <c r="P356" s="38">
        <f t="shared" si="142"/>
        <v>23.008500000000005</v>
      </c>
      <c r="Q356" s="38">
        <f t="shared" si="143"/>
        <v>23.86066666666667</v>
      </c>
      <c r="R356" s="38">
        <f t="shared" si="144"/>
        <v>24.712833333333336</v>
      </c>
      <c r="S356" s="38">
        <f t="shared" si="146"/>
        <v>21.25</v>
      </c>
      <c r="T356" s="38">
        <f t="shared" si="147"/>
        <v>22.25</v>
      </c>
      <c r="U356" s="38">
        <f t="shared" si="148"/>
        <v>23</v>
      </c>
      <c r="V356" s="38">
        <f t="shared" si="149"/>
        <v>23.75</v>
      </c>
    </row>
    <row r="357" spans="1:22" ht="21" customHeight="1" x14ac:dyDescent="0.2">
      <c r="A357" s="19" t="s">
        <v>1081</v>
      </c>
      <c r="B357" s="19" t="s">
        <v>266</v>
      </c>
      <c r="C357" s="20" t="s">
        <v>31</v>
      </c>
      <c r="D357" s="20" t="s">
        <v>384</v>
      </c>
      <c r="E357" s="20" t="s">
        <v>388</v>
      </c>
      <c r="F357" s="20" t="s">
        <v>419</v>
      </c>
      <c r="G357" s="33">
        <v>40</v>
      </c>
      <c r="H357" s="34">
        <f>VLOOKUP($C357,'Raw Cost'!$A$1:$B$484,2,FALSE)/G357</f>
        <v>1</v>
      </c>
      <c r="I357" s="34">
        <f t="shared" si="145"/>
        <v>6.25E-2</v>
      </c>
      <c r="J357" s="35">
        <v>4</v>
      </c>
      <c r="K357" s="35">
        <v>0.2</v>
      </c>
      <c r="L357" s="36">
        <f>VLOOKUP($F357,'Packaging Cost'!$A$1:$F$43,6,FALSE)</f>
        <v>3.0100000000000002</v>
      </c>
      <c r="M357" s="37">
        <f>IF($E357="Snakpak",(($J357*H357)+($K357*'Labor Cost'!$A$2)+L357)+2.25,($J357*H357)+($K357*'Labor Cost'!$A$2)+L357)</f>
        <v>11.709999999999999</v>
      </c>
      <c r="N357" s="38">
        <f t="shared" si="140"/>
        <v>14.637499999999999</v>
      </c>
      <c r="O357" s="38">
        <f t="shared" si="141"/>
        <v>15.222999999999999</v>
      </c>
      <c r="P357" s="38">
        <f t="shared" si="142"/>
        <v>15.8085</v>
      </c>
      <c r="Q357" s="38">
        <f t="shared" si="143"/>
        <v>16.393999999999998</v>
      </c>
      <c r="R357" s="38">
        <f t="shared" si="144"/>
        <v>16.979499999999998</v>
      </c>
      <c r="S357" s="38">
        <f t="shared" si="146"/>
        <v>14.75</v>
      </c>
      <c r="T357" s="38">
        <f t="shared" si="147"/>
        <v>15.25</v>
      </c>
      <c r="U357" s="38">
        <f t="shared" si="148"/>
        <v>15.75</v>
      </c>
      <c r="V357" s="38">
        <f t="shared" si="149"/>
        <v>16.5</v>
      </c>
    </row>
    <row r="358" spans="1:22" ht="21" customHeight="1" x14ac:dyDescent="0.2">
      <c r="A358" s="19" t="s">
        <v>1082</v>
      </c>
      <c r="B358" s="19" t="s">
        <v>274</v>
      </c>
      <c r="C358" s="20" t="s">
        <v>35</v>
      </c>
      <c r="D358" s="20" t="s">
        <v>384</v>
      </c>
      <c r="E358" s="20" t="s">
        <v>388</v>
      </c>
      <c r="F358" s="20" t="s">
        <v>419</v>
      </c>
      <c r="G358" s="33">
        <v>29</v>
      </c>
      <c r="H358" s="34">
        <f>VLOOKUP($C358,'Raw Cost'!$A$1:$B$484,2,FALSE)/G358</f>
        <v>1.3448275862068966</v>
      </c>
      <c r="I358" s="34">
        <f t="shared" ref="I358:I361" si="150">H358/16</f>
        <v>8.4051724137931036E-2</v>
      </c>
      <c r="J358" s="35">
        <v>4</v>
      </c>
      <c r="K358" s="35">
        <v>0.2</v>
      </c>
      <c r="L358" s="36">
        <f>VLOOKUP($F358,'Packaging Cost'!$A$1:$F$43,6,FALSE)</f>
        <v>3.0100000000000002</v>
      </c>
      <c r="M358" s="37">
        <f>IF($E358="Snakpak",(($J358*H358)+($K358*'Labor Cost'!$A$2)+L358)+2.25,($J358*H358)+($K358*'Labor Cost'!$A$2)+L358)</f>
        <v>13.089310344827586</v>
      </c>
      <c r="N358" s="38">
        <f t="shared" si="140"/>
        <v>16.361637931034483</v>
      </c>
      <c r="O358" s="38">
        <f t="shared" si="141"/>
        <v>17.016103448275864</v>
      </c>
      <c r="P358" s="38">
        <f t="shared" si="142"/>
        <v>17.670568965517244</v>
      </c>
      <c r="Q358" s="38">
        <f t="shared" si="143"/>
        <v>18.325034482758621</v>
      </c>
      <c r="R358" s="38">
        <f t="shared" si="144"/>
        <v>18.979499999999998</v>
      </c>
      <c r="S358" s="38">
        <f t="shared" si="146"/>
        <v>16.25</v>
      </c>
      <c r="T358" s="38">
        <f t="shared" si="147"/>
        <v>17</v>
      </c>
      <c r="U358" s="38">
        <f t="shared" si="148"/>
        <v>17.75</v>
      </c>
      <c r="V358" s="38">
        <f t="shared" ref="V358:V361" si="151">MROUND(Q358,0.25)</f>
        <v>18.25</v>
      </c>
    </row>
    <row r="359" spans="1:22" ht="21" customHeight="1" x14ac:dyDescent="0.2">
      <c r="A359" s="19" t="s">
        <v>1083</v>
      </c>
      <c r="B359" s="19" t="s">
        <v>276</v>
      </c>
      <c r="C359" s="20" t="s">
        <v>39</v>
      </c>
      <c r="D359" s="20" t="s">
        <v>384</v>
      </c>
      <c r="E359" s="20" t="s">
        <v>388</v>
      </c>
      <c r="F359" s="20" t="s">
        <v>419</v>
      </c>
      <c r="G359" s="33">
        <v>8.5</v>
      </c>
      <c r="H359" s="34">
        <f>VLOOKUP($C359,'Raw Cost'!$A$1:$B$484,2,FALSE)/G359</f>
        <v>2.1176470588235294</v>
      </c>
      <c r="I359" s="34">
        <f t="shared" si="150"/>
        <v>0.13235294117647059</v>
      </c>
      <c r="J359" s="35">
        <v>4</v>
      </c>
      <c r="K359" s="35">
        <v>0.2</v>
      </c>
      <c r="L359" s="36">
        <f>VLOOKUP($F359,'Packaging Cost'!$A$1:$F$43,6,FALSE)</f>
        <v>3.0100000000000002</v>
      </c>
      <c r="M359" s="37">
        <f>IF($E359="Snakpak",(($J359*H359)+($K359*'Labor Cost'!$A$2)+L359)+2.25,($J359*H359)+($K359*'Labor Cost'!$A$2)+L359)</f>
        <v>16.18058823529412</v>
      </c>
      <c r="N359" s="38">
        <f t="shared" si="140"/>
        <v>20.225735294117651</v>
      </c>
      <c r="O359" s="38">
        <f t="shared" si="141"/>
        <v>21.034764705882356</v>
      </c>
      <c r="P359" s="38">
        <f t="shared" si="142"/>
        <v>21.843794117647064</v>
      </c>
      <c r="Q359" s="38">
        <f t="shared" si="143"/>
        <v>22.652823529411766</v>
      </c>
      <c r="R359" s="38">
        <f t="shared" si="144"/>
        <v>23.461852941176474</v>
      </c>
      <c r="S359" s="38">
        <f t="shared" si="146"/>
        <v>20.25</v>
      </c>
      <c r="T359" s="38">
        <f t="shared" si="147"/>
        <v>21</v>
      </c>
      <c r="U359" s="38">
        <f t="shared" si="148"/>
        <v>21.75</v>
      </c>
      <c r="V359" s="38">
        <f t="shared" si="151"/>
        <v>22.75</v>
      </c>
    </row>
    <row r="360" spans="1:22" ht="21" customHeight="1" x14ac:dyDescent="0.2">
      <c r="A360" s="19" t="s">
        <v>1084</v>
      </c>
      <c r="B360" s="19" t="s">
        <v>331</v>
      </c>
      <c r="C360" s="20" t="s">
        <v>58</v>
      </c>
      <c r="D360" s="20" t="s">
        <v>384</v>
      </c>
      <c r="E360" s="20" t="s">
        <v>388</v>
      </c>
      <c r="F360" s="20" t="s">
        <v>419</v>
      </c>
      <c r="G360" s="33">
        <v>7.5</v>
      </c>
      <c r="H360" s="34">
        <f>VLOOKUP($C360,'Raw Cost'!$A$1:$B$484,2,FALSE)/G360</f>
        <v>2.2666666666666666</v>
      </c>
      <c r="I360" s="34">
        <f t="shared" si="150"/>
        <v>0.14166666666666666</v>
      </c>
      <c r="J360" s="35">
        <v>4</v>
      </c>
      <c r="K360" s="35">
        <v>0.2</v>
      </c>
      <c r="L360" s="36">
        <f>VLOOKUP($F360,'Packaging Cost'!$A$1:$F$43,6,FALSE)</f>
        <v>3.0100000000000002</v>
      </c>
      <c r="M360" s="37">
        <f>IF($E360="Snakpak",(($J360*H360)+($K360*'Labor Cost'!$A$2)+L360)+2.25,($J360*H360)+($K360*'Labor Cost'!$A$2)+L360)</f>
        <v>16.776666666666667</v>
      </c>
      <c r="N360" s="38">
        <f t="shared" si="140"/>
        <v>20.970833333333335</v>
      </c>
      <c r="O360" s="38">
        <f t="shared" si="141"/>
        <v>21.809666666666669</v>
      </c>
      <c r="P360" s="38">
        <f t="shared" si="142"/>
        <v>22.648500000000002</v>
      </c>
      <c r="Q360" s="38">
        <f t="shared" si="143"/>
        <v>23.487333333333332</v>
      </c>
      <c r="R360" s="38">
        <f t="shared" si="144"/>
        <v>24.326166666666666</v>
      </c>
      <c r="S360" s="38">
        <f t="shared" si="146"/>
        <v>21</v>
      </c>
      <c r="T360" s="38">
        <f t="shared" si="147"/>
        <v>21.75</v>
      </c>
      <c r="U360" s="38">
        <f t="shared" si="148"/>
        <v>22.75</v>
      </c>
      <c r="V360" s="38">
        <f t="shared" si="151"/>
        <v>23.5</v>
      </c>
    </row>
    <row r="361" spans="1:22" ht="21" customHeight="1" x14ac:dyDescent="0.2">
      <c r="A361" s="19" t="s">
        <v>1085</v>
      </c>
      <c r="B361" s="19" t="s">
        <v>343</v>
      </c>
      <c r="C361" s="20" t="s">
        <v>59</v>
      </c>
      <c r="D361" s="20" t="s">
        <v>384</v>
      </c>
      <c r="E361" s="20" t="s">
        <v>388</v>
      </c>
      <c r="F361" s="20" t="s">
        <v>419</v>
      </c>
      <c r="G361" s="33">
        <v>8</v>
      </c>
      <c r="H361" s="34">
        <f>VLOOKUP($C361,'Raw Cost'!$A$1:$B$484,2,FALSE)/G361</f>
        <v>2</v>
      </c>
      <c r="I361" s="34">
        <f t="shared" si="150"/>
        <v>0.125</v>
      </c>
      <c r="J361" s="35">
        <v>4</v>
      </c>
      <c r="K361" s="35">
        <v>0.2</v>
      </c>
      <c r="L361" s="36">
        <f>VLOOKUP($F361,'Packaging Cost'!$A$1:$F$43,6,FALSE)</f>
        <v>3.0100000000000002</v>
      </c>
      <c r="M361" s="37">
        <f>IF($E361="Snakpak",(($J361*H361)+($K361*'Labor Cost'!$A$2)+L361)+2.25,($J361*H361)+($K361*'Labor Cost'!$A$2)+L361)</f>
        <v>15.709999999999999</v>
      </c>
      <c r="N361" s="38">
        <f t="shared" si="140"/>
        <v>19.637499999999999</v>
      </c>
      <c r="O361" s="38">
        <f t="shared" si="141"/>
        <v>20.422999999999998</v>
      </c>
      <c r="P361" s="38">
        <f t="shared" si="142"/>
        <v>21.208500000000001</v>
      </c>
      <c r="Q361" s="38">
        <f t="shared" si="143"/>
        <v>21.993999999999996</v>
      </c>
      <c r="R361" s="38">
        <f t="shared" si="144"/>
        <v>22.779499999999999</v>
      </c>
      <c r="S361" s="38">
        <f t="shared" si="146"/>
        <v>19.75</v>
      </c>
      <c r="T361" s="38">
        <f t="shared" si="147"/>
        <v>20.5</v>
      </c>
      <c r="U361" s="38">
        <f t="shared" si="148"/>
        <v>21.25</v>
      </c>
      <c r="V361" s="38">
        <f t="shared" si="151"/>
        <v>22</v>
      </c>
    </row>
    <row r="362" spans="1:22" ht="21" customHeight="1" x14ac:dyDescent="0.2">
      <c r="A362" s="19" t="s">
        <v>1086</v>
      </c>
      <c r="B362" s="19" t="s">
        <v>237</v>
      </c>
      <c r="C362" s="20" t="s">
        <v>580</v>
      </c>
      <c r="D362" s="20" t="s">
        <v>384</v>
      </c>
      <c r="E362" s="20" t="s">
        <v>388</v>
      </c>
      <c r="F362" s="20" t="s">
        <v>419</v>
      </c>
      <c r="G362" s="33">
        <v>4</v>
      </c>
      <c r="H362" s="34">
        <f>VLOOKUP($C362,'Raw Cost'!$A$1:$B$484,2,FALSE)/G362</f>
        <v>1.7891339869281047</v>
      </c>
      <c r="I362" s="34">
        <f t="shared" ref="I362" si="152">H362/16</f>
        <v>0.11182087418300654</v>
      </c>
      <c r="J362" s="35">
        <v>4</v>
      </c>
      <c r="K362" s="35">
        <v>0.2</v>
      </c>
      <c r="L362" s="36">
        <f>VLOOKUP($F362,'Packaging Cost'!$A$1:$F$43,6,FALSE)</f>
        <v>3.0100000000000002</v>
      </c>
      <c r="M362" s="37">
        <f>IF($E362="Snakpak",(($J362*H362)+($K362*'Labor Cost'!$A$2)+L362)+2.25,($J362*H362)+($K362*'Labor Cost'!$A$2)+L362)</f>
        <v>14.866535947712419</v>
      </c>
      <c r="N362" s="38">
        <f t="shared" si="140"/>
        <v>18.583169934640523</v>
      </c>
      <c r="O362" s="38">
        <f t="shared" si="141"/>
        <v>19.326496732026147</v>
      </c>
      <c r="P362" s="38">
        <f t="shared" si="142"/>
        <v>20.069823529411767</v>
      </c>
      <c r="Q362" s="38">
        <f t="shared" si="143"/>
        <v>20.813150326797388</v>
      </c>
      <c r="R362" s="38">
        <f t="shared" si="144"/>
        <v>21.556477124183008</v>
      </c>
      <c r="S362" s="38">
        <f t="shared" si="146"/>
        <v>18.5</v>
      </c>
      <c r="T362" s="38">
        <f t="shared" si="147"/>
        <v>19.25</v>
      </c>
      <c r="U362" s="38">
        <f t="shared" si="148"/>
        <v>20</v>
      </c>
      <c r="V362" s="38">
        <f t="shared" ref="V362" si="153">MROUND(Q362,0.25)</f>
        <v>20.75</v>
      </c>
    </row>
    <row r="363" spans="1:22" ht="21" customHeight="1" x14ac:dyDescent="0.2">
      <c r="A363" s="19" t="s">
        <v>1105</v>
      </c>
      <c r="B363" s="19" t="s">
        <v>1106</v>
      </c>
      <c r="C363" s="20" t="s">
        <v>1108</v>
      </c>
      <c r="D363" s="20" t="s">
        <v>384</v>
      </c>
      <c r="E363" s="20" t="s">
        <v>388</v>
      </c>
      <c r="F363" s="20" t="s">
        <v>419</v>
      </c>
      <c r="G363" s="33">
        <v>3</v>
      </c>
      <c r="H363" s="34">
        <f>VLOOKUP($C363,'Raw Cost'!$A$1:$B$484,2,FALSE)/G363</f>
        <v>2.5877005347593585</v>
      </c>
      <c r="I363" s="34">
        <f t="shared" ref="I363" si="154">H363/16</f>
        <v>0.1617312834224599</v>
      </c>
      <c r="J363" s="35">
        <v>4</v>
      </c>
      <c r="K363" s="35">
        <v>0.2</v>
      </c>
      <c r="L363" s="36">
        <f>VLOOKUP($F363,'Packaging Cost'!$A$1:$F$43,6,FALSE)</f>
        <v>3.0100000000000002</v>
      </c>
      <c r="M363" s="37">
        <f>IF($E363="Snakpak",(($J363*H363)+($K363*'Labor Cost'!$A$2)+L363)+2.25,($J363*H363)+($K363*'Labor Cost'!$A$2)+L363)</f>
        <v>18.060802139037435</v>
      </c>
      <c r="N363" s="38">
        <f t="shared" si="140"/>
        <v>22.576002673796793</v>
      </c>
      <c r="O363" s="38">
        <f t="shared" si="141"/>
        <v>23.479042780748667</v>
      </c>
      <c r="P363" s="38">
        <f t="shared" si="142"/>
        <v>24.382082887700538</v>
      </c>
      <c r="Q363" s="38">
        <f t="shared" si="143"/>
        <v>25.285122994652408</v>
      </c>
      <c r="R363" s="38">
        <f t="shared" si="144"/>
        <v>26.188163101604278</v>
      </c>
      <c r="S363" s="38">
        <f t="shared" ref="S363" si="155">MROUND(N363,0.25)</f>
        <v>22.5</v>
      </c>
      <c r="T363" s="38">
        <f t="shared" ref="T363" si="156">MROUND(O363,0.25)</f>
        <v>23.5</v>
      </c>
      <c r="U363" s="38">
        <f t="shared" ref="U363" si="157">MROUND(P363,0.25)</f>
        <v>24.5</v>
      </c>
      <c r="V363" s="38">
        <f t="shared" ref="V363" si="158">MROUND(Q363,0.25)</f>
        <v>25.25</v>
      </c>
    </row>
    <row r="364" spans="1:22" ht="21" customHeight="1" x14ac:dyDescent="0.2">
      <c r="A364" s="40"/>
      <c r="B364" s="40"/>
      <c r="C364" s="40"/>
      <c r="D364" s="40"/>
      <c r="E364" s="40"/>
      <c r="F364" s="40"/>
      <c r="G364" s="41"/>
      <c r="H364" s="42"/>
      <c r="I364" s="42"/>
      <c r="J364" s="43"/>
      <c r="K364" s="43"/>
      <c r="L364" s="44"/>
      <c r="M364" s="41"/>
      <c r="N364" s="43"/>
      <c r="O364" s="43"/>
      <c r="P364" s="43"/>
      <c r="Q364" s="43"/>
      <c r="R364" s="43"/>
      <c r="S364" s="43"/>
      <c r="T364" s="43"/>
      <c r="U364" s="43"/>
    </row>
    <row r="365" spans="1:22" ht="21" customHeight="1" x14ac:dyDescent="0.2">
      <c r="A365" s="45" t="s">
        <v>1088</v>
      </c>
      <c r="B365" s="40"/>
      <c r="C365" s="40"/>
      <c r="D365" s="40"/>
      <c r="E365" s="40"/>
      <c r="F365" s="40"/>
      <c r="G365" s="41"/>
      <c r="H365" s="42"/>
      <c r="I365" s="42"/>
      <c r="J365" s="43"/>
      <c r="K365" s="43"/>
      <c r="L365" s="44"/>
      <c r="M365" s="41"/>
      <c r="N365" s="43"/>
      <c r="O365" s="43"/>
      <c r="P365" s="43"/>
      <c r="Q365" s="43"/>
      <c r="R365" s="43"/>
      <c r="S365" s="43"/>
      <c r="T365" s="43"/>
      <c r="U365" s="43"/>
    </row>
    <row r="366" spans="1:22" ht="21" customHeight="1" x14ac:dyDescent="0.2">
      <c r="A366" s="19" t="s">
        <v>1089</v>
      </c>
      <c r="B366" s="19" t="s">
        <v>237</v>
      </c>
      <c r="C366" s="20" t="s">
        <v>1</v>
      </c>
      <c r="D366" s="20" t="s">
        <v>384</v>
      </c>
      <c r="E366" s="20" t="s">
        <v>388</v>
      </c>
      <c r="F366" s="20" t="s">
        <v>419</v>
      </c>
      <c r="G366" s="33">
        <v>29</v>
      </c>
      <c r="H366" s="34">
        <f>VLOOKUP($C366,'Raw Cost'!$A$1:$B$484,2,FALSE)/G366</f>
        <v>1.5517241379310345</v>
      </c>
      <c r="I366" s="34">
        <f t="shared" ref="I366:I381" si="159">H366/16</f>
        <v>9.6982758620689655E-2</v>
      </c>
      <c r="J366" s="35">
        <v>6</v>
      </c>
      <c r="K366" s="35">
        <v>0.2</v>
      </c>
      <c r="L366" s="36">
        <f>VLOOKUP($F366,'Packaging Cost'!$A$1:$F$43,6,FALSE)</f>
        <v>3.0100000000000002</v>
      </c>
      <c r="M366" s="37">
        <f>IF($E366="Snakpak",(($J366*H366)+($K366*'Labor Cost'!$A$2)+L366),($J366*H366)+($K366*'Labor Cost'!$A$2)+L366)</f>
        <v>17.020344827586207</v>
      </c>
      <c r="N366" s="38">
        <f t="shared" ref="N366:N381" si="160">IF($D366="No",$M366*1.25,($M366*1.25)+15)</f>
        <v>21.275431034482757</v>
      </c>
      <c r="O366" s="38">
        <f t="shared" ref="O366:O381" si="161">IF($D366="No",$M366*1.3,($M366*1.3)+15)</f>
        <v>22.126448275862071</v>
      </c>
      <c r="P366" s="38">
        <f t="shared" ref="P366:P381" si="162">IF($D366="No",$M366*1.35,($M366*1.35)+15)</f>
        <v>22.977465517241381</v>
      </c>
      <c r="Q366" s="38">
        <f t="shared" ref="Q366:Q381" si="163">IF($D366="No",$M366*1.4,($M366*1.4)+15)</f>
        <v>23.828482758620687</v>
      </c>
      <c r="R366" s="38">
        <f t="shared" ref="R366:R381" si="164">IF($D366="No",$M366*1.45,($M366*1.45)+15)</f>
        <v>24.679500000000001</v>
      </c>
      <c r="S366" s="38">
        <f t="shared" ref="S366:S381" si="165">MROUND(N366,0.25)</f>
        <v>21.25</v>
      </c>
      <c r="T366" s="38">
        <f t="shared" ref="T366:T381" si="166">MROUND(O366,0.25)</f>
        <v>22.25</v>
      </c>
      <c r="U366" s="38">
        <f t="shared" ref="U366:U381" si="167">MROUND(P366,0.25)</f>
        <v>23</v>
      </c>
      <c r="V366" s="38">
        <f t="shared" ref="V366:V381" si="168">MROUND(Q366,0.25)</f>
        <v>23.75</v>
      </c>
    </row>
    <row r="367" spans="1:22" ht="21" customHeight="1" x14ac:dyDescent="0.2">
      <c r="A367" s="19" t="s">
        <v>1090</v>
      </c>
      <c r="B367" s="19" t="s">
        <v>237</v>
      </c>
      <c r="C367" s="20" t="s">
        <v>0</v>
      </c>
      <c r="D367" s="20" t="s">
        <v>384</v>
      </c>
      <c r="E367" s="20" t="s">
        <v>388</v>
      </c>
      <c r="F367" s="20" t="s">
        <v>419</v>
      </c>
      <c r="G367" s="33">
        <v>29</v>
      </c>
      <c r="H367" s="34">
        <f>VLOOKUP($C367,'Raw Cost'!$A$1:$B$484,2,FALSE)/G367</f>
        <v>1.3103448275862069</v>
      </c>
      <c r="I367" s="34">
        <f t="shared" si="159"/>
        <v>8.1896551724137928E-2</v>
      </c>
      <c r="J367" s="35">
        <v>6</v>
      </c>
      <c r="K367" s="35">
        <v>0.2</v>
      </c>
      <c r="L367" s="36">
        <f>VLOOKUP($F367,'Packaging Cost'!$A$1:$F$43,6,FALSE)</f>
        <v>3.0100000000000002</v>
      </c>
      <c r="M367" s="37">
        <f>IF($E367="Snakpak",(($J367*H367)+($K367*'Labor Cost'!$A$2)+L367),($J367*H367)+($K367*'Labor Cost'!$A$2)+L367)</f>
        <v>15.572068965517241</v>
      </c>
      <c r="N367" s="38">
        <f t="shared" si="160"/>
        <v>19.465086206896551</v>
      </c>
      <c r="O367" s="38">
        <f t="shared" si="161"/>
        <v>20.243689655172414</v>
      </c>
      <c r="P367" s="38">
        <f t="shared" si="162"/>
        <v>21.022293103448277</v>
      </c>
      <c r="Q367" s="38">
        <f t="shared" si="163"/>
        <v>21.800896551724136</v>
      </c>
      <c r="R367" s="38">
        <f t="shared" si="164"/>
        <v>22.579499999999999</v>
      </c>
      <c r="S367" s="38">
        <f t="shared" si="165"/>
        <v>19.5</v>
      </c>
      <c r="T367" s="38">
        <f t="shared" si="166"/>
        <v>20.25</v>
      </c>
      <c r="U367" s="38">
        <f t="shared" si="167"/>
        <v>21</v>
      </c>
      <c r="V367" s="38">
        <f t="shared" si="168"/>
        <v>21.75</v>
      </c>
    </row>
    <row r="368" spans="1:22" ht="21" customHeight="1" x14ac:dyDescent="0.2">
      <c r="A368" s="19" t="s">
        <v>1091</v>
      </c>
      <c r="B368" s="19" t="s">
        <v>237</v>
      </c>
      <c r="C368" s="20" t="s">
        <v>396</v>
      </c>
      <c r="D368" s="20" t="s">
        <v>384</v>
      </c>
      <c r="E368" s="20" t="s">
        <v>388</v>
      </c>
      <c r="F368" s="20" t="s">
        <v>419</v>
      </c>
      <c r="G368" s="33">
        <v>9</v>
      </c>
      <c r="H368" s="34">
        <f>VLOOKUP($C368,'Raw Cost'!$A$1:$B$484,2,FALSE)/G368</f>
        <v>8</v>
      </c>
      <c r="I368" s="34">
        <f t="shared" si="159"/>
        <v>0.5</v>
      </c>
      <c r="J368" s="35">
        <v>6</v>
      </c>
      <c r="K368" s="35">
        <v>0.2</v>
      </c>
      <c r="L368" s="36">
        <f>VLOOKUP($F368,'Packaging Cost'!$A$1:$F$43,6,FALSE)</f>
        <v>3.0100000000000002</v>
      </c>
      <c r="M368" s="37">
        <f>IF($E368="Snakpak",(($J368*H368)+($K368*'Labor Cost'!$A$2)+L368),($J368*H368)+($K368*'Labor Cost'!$A$2)+L368)</f>
        <v>55.71</v>
      </c>
      <c r="N368" s="38">
        <f t="shared" si="160"/>
        <v>69.637500000000003</v>
      </c>
      <c r="O368" s="38">
        <f t="shared" si="161"/>
        <v>72.423000000000002</v>
      </c>
      <c r="P368" s="38">
        <f t="shared" si="162"/>
        <v>75.208500000000001</v>
      </c>
      <c r="Q368" s="38">
        <f t="shared" si="163"/>
        <v>77.994</v>
      </c>
      <c r="R368" s="38">
        <f t="shared" si="164"/>
        <v>80.779499999999999</v>
      </c>
      <c r="S368" s="38">
        <f t="shared" si="165"/>
        <v>69.75</v>
      </c>
      <c r="T368" s="38">
        <f t="shared" si="166"/>
        <v>72.5</v>
      </c>
      <c r="U368" s="38">
        <f t="shared" si="167"/>
        <v>75.25</v>
      </c>
      <c r="V368" s="38">
        <f t="shared" si="168"/>
        <v>78</v>
      </c>
    </row>
    <row r="369" spans="1:22" ht="21" customHeight="1" x14ac:dyDescent="0.2">
      <c r="A369" s="19" t="s">
        <v>1092</v>
      </c>
      <c r="B369" s="19" t="s">
        <v>237</v>
      </c>
      <c r="C369" s="20" t="s">
        <v>10</v>
      </c>
      <c r="D369" s="20" t="s">
        <v>384</v>
      </c>
      <c r="E369" s="20" t="s">
        <v>388</v>
      </c>
      <c r="F369" s="20" t="s">
        <v>419</v>
      </c>
      <c r="G369" s="33">
        <v>18</v>
      </c>
      <c r="H369" s="34">
        <f>VLOOKUP($C369,'Raw Cost'!$A$1:$B$484,2,FALSE)/G369</f>
        <v>1.1111111111111112</v>
      </c>
      <c r="I369" s="34">
        <f t="shared" si="159"/>
        <v>6.9444444444444448E-2</v>
      </c>
      <c r="J369" s="35">
        <v>6</v>
      </c>
      <c r="K369" s="35">
        <v>0.2</v>
      </c>
      <c r="L369" s="36">
        <f>VLOOKUP($F369,'Packaging Cost'!$A$1:$F$43,6,FALSE)</f>
        <v>3.0100000000000002</v>
      </c>
      <c r="M369" s="37">
        <f>IF($E369="Snakpak",(($J369*H369)+($K369*'Labor Cost'!$A$2)+L369),($J369*H369)+($K369*'Labor Cost'!$A$2)+L369)</f>
        <v>14.376666666666667</v>
      </c>
      <c r="N369" s="38">
        <f t="shared" si="160"/>
        <v>17.970833333333335</v>
      </c>
      <c r="O369" s="38">
        <f t="shared" si="161"/>
        <v>18.689666666666668</v>
      </c>
      <c r="P369" s="38">
        <f t="shared" si="162"/>
        <v>19.4085</v>
      </c>
      <c r="Q369" s="38">
        <f t="shared" si="163"/>
        <v>20.127333333333333</v>
      </c>
      <c r="R369" s="38">
        <f t="shared" si="164"/>
        <v>20.846166666666665</v>
      </c>
      <c r="S369" s="38">
        <f t="shared" si="165"/>
        <v>18</v>
      </c>
      <c r="T369" s="38">
        <f t="shared" si="166"/>
        <v>18.75</v>
      </c>
      <c r="U369" s="38">
        <f t="shared" si="167"/>
        <v>19.5</v>
      </c>
      <c r="V369" s="38">
        <f t="shared" si="168"/>
        <v>20.25</v>
      </c>
    </row>
    <row r="370" spans="1:22" ht="21" customHeight="1" x14ac:dyDescent="0.2">
      <c r="A370" s="19" t="s">
        <v>1093</v>
      </c>
      <c r="B370" s="19" t="s">
        <v>237</v>
      </c>
      <c r="C370" s="20" t="s">
        <v>18</v>
      </c>
      <c r="D370" s="20" t="s">
        <v>384</v>
      </c>
      <c r="E370" s="20" t="s">
        <v>388</v>
      </c>
      <c r="F370" s="20" t="s">
        <v>419</v>
      </c>
      <c r="G370" s="33">
        <v>18</v>
      </c>
      <c r="H370" s="34">
        <f>VLOOKUP($C370,'Raw Cost'!$A$1:$B$484,2,FALSE)/G370</f>
        <v>2.0555555555555554</v>
      </c>
      <c r="I370" s="34">
        <f t="shared" si="159"/>
        <v>0.12847222222222221</v>
      </c>
      <c r="J370" s="35">
        <v>6</v>
      </c>
      <c r="K370" s="35">
        <v>0.2</v>
      </c>
      <c r="L370" s="36">
        <f>VLOOKUP($F370,'Packaging Cost'!$A$1:$F$43,6,FALSE)</f>
        <v>3.0100000000000002</v>
      </c>
      <c r="M370" s="37">
        <f>IF($E370="Snakpak",(($J370*H370)+($K370*'Labor Cost'!$A$2)+L370)+2.25,($J370*H370)+($K370*'Labor Cost'!$A$2)+L370)</f>
        <v>20.043333333333333</v>
      </c>
      <c r="N370" s="38">
        <f t="shared" si="160"/>
        <v>25.054166666666667</v>
      </c>
      <c r="O370" s="38">
        <f t="shared" si="161"/>
        <v>26.056333333333335</v>
      </c>
      <c r="P370" s="38">
        <f t="shared" si="162"/>
        <v>27.058500000000002</v>
      </c>
      <c r="Q370" s="38">
        <f t="shared" si="163"/>
        <v>28.060666666666663</v>
      </c>
      <c r="R370" s="38">
        <f t="shared" si="164"/>
        <v>29.06283333333333</v>
      </c>
      <c r="S370" s="38">
        <f t="shared" si="165"/>
        <v>25</v>
      </c>
      <c r="T370" s="38">
        <f t="shared" si="166"/>
        <v>26</v>
      </c>
      <c r="U370" s="38">
        <f t="shared" si="167"/>
        <v>27</v>
      </c>
      <c r="V370" s="38">
        <f t="shared" si="168"/>
        <v>28</v>
      </c>
    </row>
    <row r="371" spans="1:22" ht="21" customHeight="1" x14ac:dyDescent="0.2">
      <c r="A371" s="19" t="s">
        <v>1094</v>
      </c>
      <c r="B371" s="19" t="s">
        <v>237</v>
      </c>
      <c r="C371" s="20" t="s">
        <v>19</v>
      </c>
      <c r="D371" s="20" t="s">
        <v>384</v>
      </c>
      <c r="E371" s="20" t="s">
        <v>388</v>
      </c>
      <c r="F371" s="20" t="s">
        <v>419</v>
      </c>
      <c r="G371" s="33">
        <v>18</v>
      </c>
      <c r="H371" s="34">
        <f>VLOOKUP($C371,'Raw Cost'!$A$1:$B$484,2,FALSE)/G371</f>
        <v>2.5</v>
      </c>
      <c r="I371" s="34">
        <f t="shared" si="159"/>
        <v>0.15625</v>
      </c>
      <c r="J371" s="35">
        <v>6</v>
      </c>
      <c r="K371" s="35">
        <v>0.2</v>
      </c>
      <c r="L371" s="36">
        <f>VLOOKUP($F371,'Packaging Cost'!$A$1:$F$43,6,FALSE)</f>
        <v>3.0100000000000002</v>
      </c>
      <c r="M371" s="37">
        <f>IF($E371="Snakpak",(($J371*H371)+($K371*'Labor Cost'!$A$2)+L371)+2.25,($J371*H371)+($K371*'Labor Cost'!$A$2)+L371)</f>
        <v>22.71</v>
      </c>
      <c r="N371" s="38">
        <f t="shared" si="160"/>
        <v>28.387500000000003</v>
      </c>
      <c r="O371" s="38">
        <f t="shared" si="161"/>
        <v>29.523000000000003</v>
      </c>
      <c r="P371" s="38">
        <f t="shared" si="162"/>
        <v>30.658500000000004</v>
      </c>
      <c r="Q371" s="38">
        <f t="shared" si="163"/>
        <v>31.794</v>
      </c>
      <c r="R371" s="38">
        <f t="shared" si="164"/>
        <v>32.929499999999997</v>
      </c>
      <c r="S371" s="38">
        <f t="shared" si="165"/>
        <v>28.5</v>
      </c>
      <c r="T371" s="38">
        <f t="shared" si="166"/>
        <v>29.5</v>
      </c>
      <c r="U371" s="38">
        <f t="shared" si="167"/>
        <v>30.75</v>
      </c>
      <c r="V371" s="38">
        <f t="shared" si="168"/>
        <v>31.75</v>
      </c>
    </row>
    <row r="372" spans="1:22" ht="21" customHeight="1" x14ac:dyDescent="0.2">
      <c r="A372" s="19" t="s">
        <v>1095</v>
      </c>
      <c r="B372" s="19" t="s">
        <v>237</v>
      </c>
      <c r="C372" s="20" t="s">
        <v>20</v>
      </c>
      <c r="D372" s="20" t="s">
        <v>384</v>
      </c>
      <c r="E372" s="20" t="s">
        <v>388</v>
      </c>
      <c r="F372" s="20" t="s">
        <v>419</v>
      </c>
      <c r="G372" s="33">
        <v>15</v>
      </c>
      <c r="H372" s="34">
        <f>VLOOKUP($C372,'Raw Cost'!$A$1:$B$484,2,FALSE)/G372</f>
        <v>1.7333333333333334</v>
      </c>
      <c r="I372" s="34">
        <f t="shared" si="159"/>
        <v>0.10833333333333334</v>
      </c>
      <c r="J372" s="35">
        <v>6</v>
      </c>
      <c r="K372" s="35">
        <v>0.2</v>
      </c>
      <c r="L372" s="36">
        <f>VLOOKUP($F372,'Packaging Cost'!$A$1:$F$43,6,FALSE)</f>
        <v>3.0100000000000002</v>
      </c>
      <c r="M372" s="37">
        <f>IF($E372="Snakpak",(($J372*H372)+($K372*'Labor Cost'!$A$2)+L372)+2.25,($J372*H372)+($K372*'Labor Cost'!$A$2)+L372)</f>
        <v>18.110000000000003</v>
      </c>
      <c r="N372" s="38">
        <f t="shared" si="160"/>
        <v>22.637500000000003</v>
      </c>
      <c r="O372" s="38">
        <f t="shared" si="161"/>
        <v>23.543000000000006</v>
      </c>
      <c r="P372" s="38">
        <f t="shared" si="162"/>
        <v>24.448500000000006</v>
      </c>
      <c r="Q372" s="38">
        <f t="shared" si="163"/>
        <v>25.354000000000003</v>
      </c>
      <c r="R372" s="38">
        <f t="shared" si="164"/>
        <v>26.259500000000003</v>
      </c>
      <c r="S372" s="38">
        <f t="shared" si="165"/>
        <v>22.75</v>
      </c>
      <c r="T372" s="38">
        <f t="shared" si="166"/>
        <v>23.5</v>
      </c>
      <c r="U372" s="38">
        <f t="shared" si="167"/>
        <v>24.5</v>
      </c>
      <c r="V372" s="38">
        <f t="shared" si="168"/>
        <v>25.25</v>
      </c>
    </row>
    <row r="373" spans="1:22" ht="21" customHeight="1" x14ac:dyDescent="0.2">
      <c r="A373" s="19" t="s">
        <v>1096</v>
      </c>
      <c r="B373" s="19" t="s">
        <v>237</v>
      </c>
      <c r="C373" s="20" t="s">
        <v>23</v>
      </c>
      <c r="D373" s="20" t="s">
        <v>384</v>
      </c>
      <c r="E373" s="20" t="s">
        <v>388</v>
      </c>
      <c r="F373" s="20" t="s">
        <v>419</v>
      </c>
      <c r="G373" s="33">
        <v>19</v>
      </c>
      <c r="H373" s="34">
        <f>VLOOKUP($C373,'Raw Cost'!$A$1:$B$484,2,FALSE)/G373</f>
        <v>2.2105263157894739</v>
      </c>
      <c r="I373" s="34">
        <f t="shared" si="159"/>
        <v>0.13815789473684212</v>
      </c>
      <c r="J373" s="35">
        <v>6</v>
      </c>
      <c r="K373" s="35">
        <v>0.2</v>
      </c>
      <c r="L373" s="36">
        <f>VLOOKUP($F373,'Packaging Cost'!$A$1:$F$43,6,FALSE)</f>
        <v>3.0100000000000002</v>
      </c>
      <c r="M373" s="37">
        <f>IF($E373="Snakpak",(($J373*H373)+($K373*'Labor Cost'!$A$2)+L373)+2.25,($J373*H373)+($K373*'Labor Cost'!$A$2)+L373)</f>
        <v>20.973157894736843</v>
      </c>
      <c r="N373" s="38">
        <f t="shared" si="160"/>
        <v>26.216447368421054</v>
      </c>
      <c r="O373" s="38">
        <f t="shared" si="161"/>
        <v>27.265105263157896</v>
      </c>
      <c r="P373" s="38">
        <f t="shared" si="162"/>
        <v>28.313763157894741</v>
      </c>
      <c r="Q373" s="38">
        <f t="shared" si="163"/>
        <v>29.362421052631579</v>
      </c>
      <c r="R373" s="38">
        <f t="shared" si="164"/>
        <v>30.411078947368424</v>
      </c>
      <c r="S373" s="38">
        <f t="shared" si="165"/>
        <v>26.25</v>
      </c>
      <c r="T373" s="38">
        <f t="shared" si="166"/>
        <v>27.25</v>
      </c>
      <c r="U373" s="38">
        <f t="shared" si="167"/>
        <v>28.25</v>
      </c>
      <c r="V373" s="38">
        <f t="shared" si="168"/>
        <v>29.25</v>
      </c>
    </row>
    <row r="374" spans="1:22" ht="21" customHeight="1" x14ac:dyDescent="0.2">
      <c r="A374" s="19" t="s">
        <v>1097</v>
      </c>
      <c r="B374" s="19" t="s">
        <v>237</v>
      </c>
      <c r="C374" s="20" t="s">
        <v>25</v>
      </c>
      <c r="D374" s="20" t="s">
        <v>384</v>
      </c>
      <c r="E374" s="20" t="s">
        <v>388</v>
      </c>
      <c r="F374" s="20" t="s">
        <v>419</v>
      </c>
      <c r="G374" s="33">
        <v>6</v>
      </c>
      <c r="H374" s="34">
        <f>VLOOKUP($C374,'Raw Cost'!$A$1:$B$484,2,FALSE)/G374</f>
        <v>2.3333333333333335</v>
      </c>
      <c r="I374" s="34">
        <f t="shared" si="159"/>
        <v>0.14583333333333334</v>
      </c>
      <c r="J374" s="35">
        <v>6</v>
      </c>
      <c r="K374" s="35">
        <v>0.2</v>
      </c>
      <c r="L374" s="36">
        <f>VLOOKUP($F374,'Packaging Cost'!$A$1:$F$43,6,FALSE)</f>
        <v>3.0100000000000002</v>
      </c>
      <c r="M374" s="37">
        <f>IF($E374="Snakpak",(($J374*H374)+($K374*'Labor Cost'!$A$2)+L374)+2.25,($J374*H374)+($K374*'Labor Cost'!$A$2)+L374)</f>
        <v>21.71</v>
      </c>
      <c r="N374" s="38">
        <f t="shared" si="160"/>
        <v>27.137500000000003</v>
      </c>
      <c r="O374" s="38">
        <f t="shared" si="161"/>
        <v>28.223000000000003</v>
      </c>
      <c r="P374" s="38">
        <f t="shared" si="162"/>
        <v>29.308500000000002</v>
      </c>
      <c r="Q374" s="38">
        <f t="shared" si="163"/>
        <v>30.393999999999998</v>
      </c>
      <c r="R374" s="38">
        <f t="shared" si="164"/>
        <v>31.479500000000002</v>
      </c>
      <c r="S374" s="38">
        <f t="shared" si="165"/>
        <v>27.25</v>
      </c>
      <c r="T374" s="38">
        <f t="shared" si="166"/>
        <v>28.25</v>
      </c>
      <c r="U374" s="38">
        <f t="shared" si="167"/>
        <v>29.25</v>
      </c>
      <c r="V374" s="38">
        <f t="shared" si="168"/>
        <v>30.5</v>
      </c>
    </row>
    <row r="375" spans="1:22" ht="21" customHeight="1" x14ac:dyDescent="0.2">
      <c r="A375" s="19" t="s">
        <v>1098</v>
      </c>
      <c r="B375" s="19" t="s">
        <v>237</v>
      </c>
      <c r="C375" s="20" t="s">
        <v>31</v>
      </c>
      <c r="D375" s="20" t="s">
        <v>384</v>
      </c>
      <c r="E375" s="20" t="s">
        <v>388</v>
      </c>
      <c r="F375" s="20" t="s">
        <v>419</v>
      </c>
      <c r="G375" s="33">
        <v>40</v>
      </c>
      <c r="H375" s="34">
        <f>VLOOKUP($C375,'Raw Cost'!$A$1:$B$484,2,FALSE)/G375</f>
        <v>1</v>
      </c>
      <c r="I375" s="34">
        <f t="shared" si="159"/>
        <v>6.25E-2</v>
      </c>
      <c r="J375" s="35">
        <v>6</v>
      </c>
      <c r="K375" s="35">
        <v>0.2</v>
      </c>
      <c r="L375" s="36">
        <f>VLOOKUP($F375,'Packaging Cost'!$A$1:$F$43,6,FALSE)</f>
        <v>3.0100000000000002</v>
      </c>
      <c r="M375" s="37">
        <f>IF($E375="Snakpak",(($J375*H375)+($K375*'Labor Cost'!$A$2)+L375)+2.25,($J375*H375)+($K375*'Labor Cost'!$A$2)+L375)</f>
        <v>13.709999999999999</v>
      </c>
      <c r="N375" s="38">
        <f t="shared" si="160"/>
        <v>17.137499999999999</v>
      </c>
      <c r="O375" s="38">
        <f t="shared" si="161"/>
        <v>17.823</v>
      </c>
      <c r="P375" s="38">
        <f t="shared" si="162"/>
        <v>18.508500000000002</v>
      </c>
      <c r="Q375" s="38">
        <f t="shared" si="163"/>
        <v>19.193999999999999</v>
      </c>
      <c r="R375" s="38">
        <f t="shared" si="164"/>
        <v>19.879499999999997</v>
      </c>
      <c r="S375" s="38">
        <f t="shared" si="165"/>
        <v>17.25</v>
      </c>
      <c r="T375" s="38">
        <f t="shared" si="166"/>
        <v>17.75</v>
      </c>
      <c r="U375" s="38">
        <f t="shared" si="167"/>
        <v>18.5</v>
      </c>
      <c r="V375" s="38">
        <f t="shared" si="168"/>
        <v>19.25</v>
      </c>
    </row>
    <row r="376" spans="1:22" ht="21" customHeight="1" x14ac:dyDescent="0.2">
      <c r="A376" s="19" t="s">
        <v>1099</v>
      </c>
      <c r="B376" s="19" t="s">
        <v>237</v>
      </c>
      <c r="C376" s="20" t="s">
        <v>35</v>
      </c>
      <c r="D376" s="20" t="s">
        <v>384</v>
      </c>
      <c r="E376" s="20" t="s">
        <v>388</v>
      </c>
      <c r="F376" s="20" t="s">
        <v>419</v>
      </c>
      <c r="G376" s="33">
        <v>29</v>
      </c>
      <c r="H376" s="34">
        <f>VLOOKUP($C376,'Raw Cost'!$A$1:$B$484,2,FALSE)/G376</f>
        <v>1.3448275862068966</v>
      </c>
      <c r="I376" s="34">
        <f t="shared" si="159"/>
        <v>8.4051724137931036E-2</v>
      </c>
      <c r="J376" s="35">
        <v>6</v>
      </c>
      <c r="K376" s="35">
        <v>0.2</v>
      </c>
      <c r="L376" s="36">
        <f>VLOOKUP($F376,'Packaging Cost'!$A$1:$F$43,6,FALSE)</f>
        <v>3.0100000000000002</v>
      </c>
      <c r="M376" s="37">
        <f>IF($E376="Snakpak",(($J376*H376)+($K376*'Labor Cost'!$A$2)+L376)+2.25,($J376*H376)+($K376*'Labor Cost'!$A$2)+L376)</f>
        <v>15.77896551724138</v>
      </c>
      <c r="N376" s="38">
        <f t="shared" si="160"/>
        <v>19.723706896551725</v>
      </c>
      <c r="O376" s="38">
        <f t="shared" si="161"/>
        <v>20.512655172413794</v>
      </c>
      <c r="P376" s="38">
        <f t="shared" si="162"/>
        <v>21.301603448275863</v>
      </c>
      <c r="Q376" s="38">
        <f t="shared" si="163"/>
        <v>22.090551724137931</v>
      </c>
      <c r="R376" s="38">
        <f t="shared" si="164"/>
        <v>22.8795</v>
      </c>
      <c r="S376" s="38">
        <f t="shared" si="165"/>
        <v>19.75</v>
      </c>
      <c r="T376" s="38">
        <f t="shared" si="166"/>
        <v>20.5</v>
      </c>
      <c r="U376" s="38">
        <f t="shared" si="167"/>
        <v>21.25</v>
      </c>
      <c r="V376" s="38">
        <f t="shared" si="168"/>
        <v>22</v>
      </c>
    </row>
    <row r="377" spans="1:22" ht="21" customHeight="1" x14ac:dyDescent="0.2">
      <c r="A377" s="19" t="s">
        <v>1100</v>
      </c>
      <c r="B377" s="19" t="s">
        <v>237</v>
      </c>
      <c r="C377" s="20" t="s">
        <v>39</v>
      </c>
      <c r="D377" s="20" t="s">
        <v>384</v>
      </c>
      <c r="E377" s="20" t="s">
        <v>388</v>
      </c>
      <c r="F377" s="20" t="s">
        <v>419</v>
      </c>
      <c r="G377" s="33">
        <v>8.5</v>
      </c>
      <c r="H377" s="34">
        <f>VLOOKUP($C377,'Raw Cost'!$A$1:$B$484,2,FALSE)/G377</f>
        <v>2.1176470588235294</v>
      </c>
      <c r="I377" s="34">
        <f t="shared" si="159"/>
        <v>0.13235294117647059</v>
      </c>
      <c r="J377" s="35">
        <v>6</v>
      </c>
      <c r="K377" s="35">
        <v>0.2</v>
      </c>
      <c r="L377" s="36">
        <f>VLOOKUP($F377,'Packaging Cost'!$A$1:$F$43,6,FALSE)</f>
        <v>3.0100000000000002</v>
      </c>
      <c r="M377" s="37">
        <f>IF($E377="Snakpak",(($J377*H377)+($K377*'Labor Cost'!$A$2)+L377)+2.25,($J377*H377)+($K377*'Labor Cost'!$A$2)+L377)</f>
        <v>20.415882352941178</v>
      </c>
      <c r="N377" s="38">
        <f t="shared" si="160"/>
        <v>25.519852941176474</v>
      </c>
      <c r="O377" s="38">
        <f t="shared" si="161"/>
        <v>26.540647058823534</v>
      </c>
      <c r="P377" s="38">
        <f t="shared" si="162"/>
        <v>27.561441176470591</v>
      </c>
      <c r="Q377" s="38">
        <f t="shared" si="163"/>
        <v>28.582235294117648</v>
      </c>
      <c r="R377" s="38">
        <f t="shared" si="164"/>
        <v>29.603029411764709</v>
      </c>
      <c r="S377" s="38">
        <f t="shared" si="165"/>
        <v>25.5</v>
      </c>
      <c r="T377" s="38">
        <f t="shared" si="166"/>
        <v>26.5</v>
      </c>
      <c r="U377" s="38">
        <f t="shared" si="167"/>
        <v>27.5</v>
      </c>
      <c r="V377" s="38">
        <f t="shared" si="168"/>
        <v>28.5</v>
      </c>
    </row>
    <row r="378" spans="1:22" ht="21" customHeight="1" x14ac:dyDescent="0.2">
      <c r="A378" s="19" t="s">
        <v>1101</v>
      </c>
      <c r="B378" s="19" t="s">
        <v>237</v>
      </c>
      <c r="C378" s="20" t="s">
        <v>58</v>
      </c>
      <c r="D378" s="20" t="s">
        <v>384</v>
      </c>
      <c r="E378" s="20" t="s">
        <v>388</v>
      </c>
      <c r="F378" s="20" t="s">
        <v>419</v>
      </c>
      <c r="G378" s="33">
        <v>7.5</v>
      </c>
      <c r="H378" s="34">
        <f>VLOOKUP($C378,'Raw Cost'!$A$1:$B$484,2,FALSE)/G378</f>
        <v>2.2666666666666666</v>
      </c>
      <c r="I378" s="34">
        <f t="shared" si="159"/>
        <v>0.14166666666666666</v>
      </c>
      <c r="J378" s="35">
        <v>6</v>
      </c>
      <c r="K378" s="35">
        <v>0.2</v>
      </c>
      <c r="L378" s="36">
        <f>VLOOKUP($F378,'Packaging Cost'!$A$1:$F$43,6,FALSE)</f>
        <v>3.0100000000000002</v>
      </c>
      <c r="M378" s="37">
        <f>IF($E378="Snakpak",(($J378*H378)+($K378*'Labor Cost'!$A$2)+L378)+2.25,($J378*H378)+($K378*'Labor Cost'!$A$2)+L378)</f>
        <v>21.310000000000002</v>
      </c>
      <c r="N378" s="38">
        <f t="shared" si="160"/>
        <v>26.637500000000003</v>
      </c>
      <c r="O378" s="38">
        <f t="shared" si="161"/>
        <v>27.703000000000003</v>
      </c>
      <c r="P378" s="38">
        <f t="shared" si="162"/>
        <v>28.768500000000007</v>
      </c>
      <c r="Q378" s="38">
        <f t="shared" si="163"/>
        <v>29.834</v>
      </c>
      <c r="R378" s="38">
        <f t="shared" si="164"/>
        <v>30.899500000000003</v>
      </c>
      <c r="S378" s="38">
        <f t="shared" si="165"/>
        <v>26.75</v>
      </c>
      <c r="T378" s="38">
        <f t="shared" si="166"/>
        <v>27.75</v>
      </c>
      <c r="U378" s="38">
        <f t="shared" si="167"/>
        <v>28.75</v>
      </c>
      <c r="V378" s="38">
        <f t="shared" si="168"/>
        <v>29.75</v>
      </c>
    </row>
    <row r="379" spans="1:22" ht="21" customHeight="1" x14ac:dyDescent="0.2">
      <c r="A379" s="19" t="s">
        <v>1102</v>
      </c>
      <c r="B379" s="19" t="s">
        <v>237</v>
      </c>
      <c r="C379" s="20" t="s">
        <v>59</v>
      </c>
      <c r="D379" s="20" t="s">
        <v>384</v>
      </c>
      <c r="E379" s="20" t="s">
        <v>388</v>
      </c>
      <c r="F379" s="20" t="s">
        <v>419</v>
      </c>
      <c r="G379" s="33">
        <v>8</v>
      </c>
      <c r="H379" s="34">
        <f>VLOOKUP($C379,'Raw Cost'!$A$1:$B$484,2,FALSE)/G379</f>
        <v>2</v>
      </c>
      <c r="I379" s="34">
        <f t="shared" si="159"/>
        <v>0.125</v>
      </c>
      <c r="J379" s="35">
        <v>6</v>
      </c>
      <c r="K379" s="35">
        <v>0.2</v>
      </c>
      <c r="L379" s="36">
        <f>VLOOKUP($F379,'Packaging Cost'!$A$1:$F$43,6,FALSE)</f>
        <v>3.0100000000000002</v>
      </c>
      <c r="M379" s="37">
        <f>IF($E379="Snakpak",(($J379*H379)+($K379*'Labor Cost'!$A$2)+L379)+2.25,($J379*H379)+($K379*'Labor Cost'!$A$2)+L379)</f>
        <v>19.71</v>
      </c>
      <c r="N379" s="38">
        <f t="shared" si="160"/>
        <v>24.637500000000003</v>
      </c>
      <c r="O379" s="38">
        <f t="shared" si="161"/>
        <v>25.623000000000001</v>
      </c>
      <c r="P379" s="38">
        <f t="shared" si="162"/>
        <v>26.608500000000003</v>
      </c>
      <c r="Q379" s="38">
        <f t="shared" si="163"/>
        <v>27.594000000000001</v>
      </c>
      <c r="R379" s="38">
        <f t="shared" si="164"/>
        <v>28.579499999999999</v>
      </c>
      <c r="S379" s="38">
        <f t="shared" si="165"/>
        <v>24.75</v>
      </c>
      <c r="T379" s="38">
        <f t="shared" si="166"/>
        <v>25.5</v>
      </c>
      <c r="U379" s="38">
        <f t="shared" si="167"/>
        <v>26.5</v>
      </c>
      <c r="V379" s="38">
        <f t="shared" si="168"/>
        <v>27.5</v>
      </c>
    </row>
    <row r="380" spans="1:22" ht="21" customHeight="1" x14ac:dyDescent="0.2">
      <c r="A380" s="19" t="s">
        <v>1103</v>
      </c>
      <c r="B380" s="19" t="s">
        <v>237</v>
      </c>
      <c r="C380" s="20" t="s">
        <v>580</v>
      </c>
      <c r="D380" s="20" t="s">
        <v>384</v>
      </c>
      <c r="E380" s="20" t="s">
        <v>388</v>
      </c>
      <c r="F380" s="20" t="s">
        <v>419</v>
      </c>
      <c r="G380" s="33">
        <v>4</v>
      </c>
      <c r="H380" s="34">
        <f>VLOOKUP($C380,'Raw Cost'!$A$1:$B$484,2,FALSE)/G380</f>
        <v>1.7891339869281047</v>
      </c>
      <c r="I380" s="34">
        <f t="shared" si="159"/>
        <v>0.11182087418300654</v>
      </c>
      <c r="J380" s="35">
        <v>6</v>
      </c>
      <c r="K380" s="35">
        <v>0.2</v>
      </c>
      <c r="L380" s="36">
        <f>VLOOKUP($F380,'Packaging Cost'!$A$1:$F$43,6,FALSE)</f>
        <v>3.0100000000000002</v>
      </c>
      <c r="M380" s="37">
        <f>IF($E380="Snakpak",(($J380*H380)+($K380*'Labor Cost'!$A$2)+L380)+2.25,($J380*H380)+($K380*'Labor Cost'!$A$2)+L380)</f>
        <v>18.444803921568628</v>
      </c>
      <c r="N380" s="38">
        <f t="shared" si="160"/>
        <v>23.056004901960783</v>
      </c>
      <c r="O380" s="38">
        <f t="shared" si="161"/>
        <v>23.978245098039217</v>
      </c>
      <c r="P380" s="38">
        <f t="shared" si="162"/>
        <v>24.900485294117651</v>
      </c>
      <c r="Q380" s="38">
        <f t="shared" si="163"/>
        <v>25.822725490196078</v>
      </c>
      <c r="R380" s="38">
        <f t="shared" si="164"/>
        <v>26.744965686274508</v>
      </c>
      <c r="S380" s="38">
        <f t="shared" si="165"/>
        <v>23</v>
      </c>
      <c r="T380" s="38">
        <f t="shared" si="166"/>
        <v>24</v>
      </c>
      <c r="U380" s="38">
        <f t="shared" si="167"/>
        <v>25</v>
      </c>
      <c r="V380" s="38">
        <f t="shared" si="168"/>
        <v>25.75</v>
      </c>
    </row>
    <row r="381" spans="1:22" ht="21" customHeight="1" x14ac:dyDescent="0.2">
      <c r="A381" s="19" t="s">
        <v>1111</v>
      </c>
      <c r="B381" s="19" t="s">
        <v>1106</v>
      </c>
      <c r="C381" s="20" t="s">
        <v>1108</v>
      </c>
      <c r="D381" s="20" t="s">
        <v>384</v>
      </c>
      <c r="E381" s="20" t="s">
        <v>388</v>
      </c>
      <c r="F381" s="20" t="s">
        <v>419</v>
      </c>
      <c r="G381" s="33">
        <v>3</v>
      </c>
      <c r="H381" s="34">
        <f>VLOOKUP($C381,'Raw Cost'!$A$1:$B$484,2,FALSE)/G381</f>
        <v>2.5877005347593585</v>
      </c>
      <c r="I381" s="34">
        <f t="shared" si="159"/>
        <v>0.1617312834224599</v>
      </c>
      <c r="J381" s="35">
        <v>6</v>
      </c>
      <c r="K381" s="35">
        <v>0.2</v>
      </c>
      <c r="L381" s="36">
        <f>VLOOKUP($F381,'Packaging Cost'!$A$1:$F$43,6,FALSE)</f>
        <v>3.0100000000000002</v>
      </c>
      <c r="M381" s="37">
        <f>IF($E381="Snakpak",(($J381*H381)+($K381*'Labor Cost'!$A$2)+L381)+2.25,($J381*H381)+($K381*'Labor Cost'!$A$2)+L381)</f>
        <v>23.236203208556152</v>
      </c>
      <c r="N381" s="38">
        <f t="shared" si="160"/>
        <v>29.045254010695189</v>
      </c>
      <c r="O381" s="38">
        <f t="shared" si="161"/>
        <v>30.207064171122997</v>
      </c>
      <c r="P381" s="38">
        <f t="shared" si="162"/>
        <v>31.368874331550806</v>
      </c>
      <c r="Q381" s="38">
        <f t="shared" si="163"/>
        <v>32.530684491978612</v>
      </c>
      <c r="R381" s="38">
        <f t="shared" si="164"/>
        <v>33.692494652406417</v>
      </c>
      <c r="S381" s="38">
        <f t="shared" si="165"/>
        <v>29</v>
      </c>
      <c r="T381" s="38">
        <f t="shared" si="166"/>
        <v>30.25</v>
      </c>
      <c r="U381" s="38">
        <f t="shared" si="167"/>
        <v>31.25</v>
      </c>
      <c r="V381" s="38">
        <f t="shared" si="168"/>
        <v>32.5</v>
      </c>
    </row>
    <row r="382" spans="1:22" ht="21" customHeight="1" x14ac:dyDescent="0.2">
      <c r="A382" s="40"/>
      <c r="B382" s="40"/>
      <c r="C382" s="40"/>
      <c r="D382" s="40"/>
      <c r="E382" s="40"/>
      <c r="F382" s="40"/>
      <c r="G382" s="41"/>
      <c r="H382" s="42"/>
      <c r="I382" s="42"/>
      <c r="J382" s="43"/>
      <c r="K382" s="43"/>
      <c r="L382" s="44"/>
      <c r="M382" s="41"/>
      <c r="N382" s="43"/>
      <c r="O382" s="43"/>
      <c r="P382" s="43"/>
      <c r="Q382" s="43"/>
      <c r="R382" s="43"/>
      <c r="S382" s="43"/>
      <c r="T382" s="43"/>
      <c r="U382" s="43"/>
    </row>
    <row r="383" spans="1:22" ht="21" customHeight="1" x14ac:dyDescent="0.2">
      <c r="A383" s="45" t="s">
        <v>1114</v>
      </c>
      <c r="B383" s="40"/>
      <c r="C383" s="40"/>
      <c r="D383" s="40"/>
      <c r="E383" s="40"/>
      <c r="F383" s="40"/>
      <c r="G383" s="41"/>
      <c r="H383" s="42"/>
      <c r="I383" s="42"/>
      <c r="J383" s="43"/>
      <c r="K383" s="43"/>
      <c r="L383" s="44"/>
      <c r="M383" s="41"/>
      <c r="N383" s="43"/>
      <c r="O383" s="43"/>
      <c r="P383" s="43"/>
      <c r="Q383" s="43"/>
      <c r="R383" s="43"/>
      <c r="S383" s="43"/>
      <c r="T383" s="43"/>
      <c r="U383" s="43"/>
    </row>
    <row r="384" spans="1:22" ht="21" customHeight="1" x14ac:dyDescent="0.2">
      <c r="A384" s="19" t="s">
        <v>1115</v>
      </c>
      <c r="B384" s="19" t="s">
        <v>237</v>
      </c>
      <c r="C384" s="20" t="s">
        <v>1</v>
      </c>
      <c r="D384" s="20" t="s">
        <v>384</v>
      </c>
      <c r="E384" s="20" t="s">
        <v>388</v>
      </c>
      <c r="F384" s="20" t="s">
        <v>419</v>
      </c>
      <c r="G384" s="33">
        <v>29</v>
      </c>
      <c r="H384" s="34">
        <f>VLOOKUP($C384,'Raw Cost'!$A$1:$B$484,2,FALSE)/G384</f>
        <v>1.5517241379310345</v>
      </c>
      <c r="I384" s="34">
        <f t="shared" ref="I384:I399" si="169">H384/16</f>
        <v>9.6982758620689655E-2</v>
      </c>
      <c r="J384" s="35">
        <v>3</v>
      </c>
      <c r="K384" s="35">
        <v>0.15</v>
      </c>
      <c r="L384" s="36">
        <f>VLOOKUP($F384,'Packaging Cost'!$A$1:$F$43,6,FALSE)</f>
        <v>3.0100000000000002</v>
      </c>
      <c r="M384" s="37">
        <f>IF($E384="Snakpak",(($J384*H384)+($K384*'Labor Cost'!$A$2)+L384),($J384*H384)+($K384*'Labor Cost'!$A$2)+L384)</f>
        <v>11.190172413793103</v>
      </c>
      <c r="N384" s="38">
        <f t="shared" ref="N384:N399" si="170">IF($D384="No",$M384*1.25,($M384*1.25)+15)</f>
        <v>13.98771551724138</v>
      </c>
      <c r="O384" s="38">
        <f t="shared" ref="O384:O399" si="171">IF($D384="No",$M384*1.3,($M384*1.3)+15)</f>
        <v>14.547224137931035</v>
      </c>
      <c r="P384" s="38">
        <f t="shared" ref="P384:P399" si="172">IF($D384="No",$M384*1.35,($M384*1.35)+15)</f>
        <v>15.106732758620691</v>
      </c>
      <c r="Q384" s="38">
        <f t="shared" ref="Q384:Q399" si="173">IF($D384="No",$M384*1.4,($M384*1.4)+15)</f>
        <v>15.666241379310344</v>
      </c>
      <c r="R384" s="38">
        <f t="shared" ref="R384:R399" si="174">IF($D384="No",$M384*1.45,($M384*1.45)+15)</f>
        <v>16.225749999999998</v>
      </c>
      <c r="S384" s="38">
        <f t="shared" ref="S384:S399" si="175">MROUND(N384,0.25)</f>
        <v>14</v>
      </c>
      <c r="T384" s="38">
        <f t="shared" ref="T384:T399" si="176">MROUND(O384,0.25)</f>
        <v>14.5</v>
      </c>
      <c r="U384" s="38">
        <f t="shared" ref="U384:U399" si="177">MROUND(P384,0.25)</f>
        <v>15</v>
      </c>
      <c r="V384" s="38">
        <f t="shared" ref="V384:V399" si="178">MROUND(Q384,0.25)</f>
        <v>15.75</v>
      </c>
    </row>
    <row r="385" spans="1:22" ht="21" customHeight="1" x14ac:dyDescent="0.2">
      <c r="A385" s="19" t="s">
        <v>1116</v>
      </c>
      <c r="B385" s="19" t="s">
        <v>237</v>
      </c>
      <c r="C385" s="20" t="s">
        <v>0</v>
      </c>
      <c r="D385" s="20" t="s">
        <v>384</v>
      </c>
      <c r="E385" s="20" t="s">
        <v>388</v>
      </c>
      <c r="F385" s="20" t="s">
        <v>419</v>
      </c>
      <c r="G385" s="33">
        <v>29</v>
      </c>
      <c r="H385" s="34">
        <f>VLOOKUP($C385,'Raw Cost'!$A$1:$B$484,2,FALSE)/G385</f>
        <v>1.3103448275862069</v>
      </c>
      <c r="I385" s="34">
        <f t="shared" si="169"/>
        <v>8.1896551724137928E-2</v>
      </c>
      <c r="J385" s="35">
        <v>3</v>
      </c>
      <c r="K385" s="35">
        <v>0.15</v>
      </c>
      <c r="L385" s="36">
        <f>VLOOKUP($F385,'Packaging Cost'!$A$1:$F$43,6,FALSE)</f>
        <v>3.0100000000000002</v>
      </c>
      <c r="M385" s="37">
        <f>IF($E385="Snakpak",(($J385*H385)+($K385*'Labor Cost'!$A$2)+L385),($J385*H385)+($K385*'Labor Cost'!$A$2)+L385)</f>
        <v>10.466034482758621</v>
      </c>
      <c r="N385" s="38">
        <f t="shared" si="170"/>
        <v>13.082543103448277</v>
      </c>
      <c r="O385" s="38">
        <f t="shared" si="171"/>
        <v>13.605844827586209</v>
      </c>
      <c r="P385" s="38">
        <f t="shared" si="172"/>
        <v>14.129146551724139</v>
      </c>
      <c r="Q385" s="38">
        <f t="shared" si="173"/>
        <v>14.652448275862069</v>
      </c>
      <c r="R385" s="38">
        <f t="shared" si="174"/>
        <v>15.175750000000001</v>
      </c>
      <c r="S385" s="38">
        <f t="shared" si="175"/>
        <v>13</v>
      </c>
      <c r="T385" s="38">
        <f t="shared" si="176"/>
        <v>13.5</v>
      </c>
      <c r="U385" s="38">
        <f t="shared" si="177"/>
        <v>14.25</v>
      </c>
      <c r="V385" s="38">
        <f t="shared" si="178"/>
        <v>14.75</v>
      </c>
    </row>
    <row r="386" spans="1:22" ht="21" customHeight="1" x14ac:dyDescent="0.2">
      <c r="A386" s="19" t="s">
        <v>1117</v>
      </c>
      <c r="B386" s="19" t="s">
        <v>237</v>
      </c>
      <c r="C386" s="20" t="s">
        <v>396</v>
      </c>
      <c r="D386" s="20" t="s">
        <v>384</v>
      </c>
      <c r="E386" s="20" t="s">
        <v>388</v>
      </c>
      <c r="F386" s="20" t="s">
        <v>419</v>
      </c>
      <c r="G386" s="33">
        <v>9</v>
      </c>
      <c r="H386" s="34">
        <f>VLOOKUP($C386,'Raw Cost'!$A$1:$B$484,2,FALSE)/G386</f>
        <v>8</v>
      </c>
      <c r="I386" s="34">
        <f t="shared" si="169"/>
        <v>0.5</v>
      </c>
      <c r="J386" s="35">
        <v>3</v>
      </c>
      <c r="K386" s="35">
        <v>0.15</v>
      </c>
      <c r="L386" s="36">
        <f>VLOOKUP($F386,'Packaging Cost'!$A$1:$F$43,6,FALSE)</f>
        <v>3.0100000000000002</v>
      </c>
      <c r="M386" s="37">
        <f>IF($E386="Snakpak",(($J386*H386)+($K386*'Labor Cost'!$A$2)+L386),($J386*H386)+($K386*'Labor Cost'!$A$2)+L386)</f>
        <v>30.535</v>
      </c>
      <c r="N386" s="38">
        <f t="shared" si="170"/>
        <v>38.168750000000003</v>
      </c>
      <c r="O386" s="38">
        <f t="shared" si="171"/>
        <v>39.695500000000003</v>
      </c>
      <c r="P386" s="38">
        <f t="shared" si="172"/>
        <v>41.222250000000003</v>
      </c>
      <c r="Q386" s="38">
        <f t="shared" si="173"/>
        <v>42.748999999999995</v>
      </c>
      <c r="R386" s="38">
        <f t="shared" si="174"/>
        <v>44.275750000000002</v>
      </c>
      <c r="S386" s="38">
        <f t="shared" si="175"/>
        <v>38.25</v>
      </c>
      <c r="T386" s="38">
        <f t="shared" si="176"/>
        <v>39.75</v>
      </c>
      <c r="U386" s="38">
        <f t="shared" si="177"/>
        <v>41.25</v>
      </c>
      <c r="V386" s="38">
        <f t="shared" si="178"/>
        <v>42.75</v>
      </c>
    </row>
    <row r="387" spans="1:22" ht="21" customHeight="1" x14ac:dyDescent="0.2">
      <c r="A387" s="19" t="s">
        <v>1118</v>
      </c>
      <c r="B387" s="19" t="s">
        <v>237</v>
      </c>
      <c r="C387" s="20" t="s">
        <v>10</v>
      </c>
      <c r="D387" s="20" t="s">
        <v>384</v>
      </c>
      <c r="E387" s="20" t="s">
        <v>388</v>
      </c>
      <c r="F387" s="20" t="s">
        <v>419</v>
      </c>
      <c r="G387" s="33">
        <v>18</v>
      </c>
      <c r="H387" s="34">
        <f>VLOOKUP($C387,'Raw Cost'!$A$1:$B$484,2,FALSE)/G387</f>
        <v>1.1111111111111112</v>
      </c>
      <c r="I387" s="34">
        <f t="shared" si="169"/>
        <v>6.9444444444444448E-2</v>
      </c>
      <c r="J387" s="35">
        <v>3</v>
      </c>
      <c r="K387" s="35">
        <v>0.15</v>
      </c>
      <c r="L387" s="36">
        <f>VLOOKUP($F387,'Packaging Cost'!$A$1:$F$43,6,FALSE)</f>
        <v>3.0100000000000002</v>
      </c>
      <c r="M387" s="37">
        <f>IF($E387="Snakpak",(($J387*H387)+($K387*'Labor Cost'!$A$2)+L387),($J387*H387)+($K387*'Labor Cost'!$A$2)+L387)</f>
        <v>9.8683333333333341</v>
      </c>
      <c r="N387" s="38">
        <f t="shared" si="170"/>
        <v>12.335416666666667</v>
      </c>
      <c r="O387" s="38">
        <f t="shared" si="171"/>
        <v>12.828833333333336</v>
      </c>
      <c r="P387" s="38">
        <f t="shared" si="172"/>
        <v>13.322250000000002</v>
      </c>
      <c r="Q387" s="38">
        <f t="shared" si="173"/>
        <v>13.815666666666667</v>
      </c>
      <c r="R387" s="38">
        <f t="shared" si="174"/>
        <v>14.309083333333334</v>
      </c>
      <c r="S387" s="38">
        <f t="shared" si="175"/>
        <v>12.25</v>
      </c>
      <c r="T387" s="38">
        <f t="shared" si="176"/>
        <v>12.75</v>
      </c>
      <c r="U387" s="38">
        <f t="shared" si="177"/>
        <v>13.25</v>
      </c>
      <c r="V387" s="38">
        <f t="shared" si="178"/>
        <v>13.75</v>
      </c>
    </row>
    <row r="388" spans="1:22" ht="21" customHeight="1" x14ac:dyDescent="0.2">
      <c r="A388" s="19" t="s">
        <v>1119</v>
      </c>
      <c r="B388" s="19" t="s">
        <v>237</v>
      </c>
      <c r="C388" s="20" t="s">
        <v>18</v>
      </c>
      <c r="D388" s="20" t="s">
        <v>384</v>
      </c>
      <c r="E388" s="20" t="s">
        <v>388</v>
      </c>
      <c r="F388" s="20" t="s">
        <v>419</v>
      </c>
      <c r="G388" s="33">
        <v>18</v>
      </c>
      <c r="H388" s="34">
        <f>VLOOKUP($C388,'Raw Cost'!$A$1:$B$484,2,FALSE)/G388</f>
        <v>2.0555555555555554</v>
      </c>
      <c r="I388" s="34">
        <f t="shared" si="169"/>
        <v>0.12847222222222221</v>
      </c>
      <c r="J388" s="35">
        <v>3</v>
      </c>
      <c r="K388" s="35">
        <v>0.15</v>
      </c>
      <c r="L388" s="36">
        <f>VLOOKUP($F388,'Packaging Cost'!$A$1:$F$43,6,FALSE)</f>
        <v>3.0100000000000002</v>
      </c>
      <c r="M388" s="37">
        <f>IF($E388="Snakpak",(($J388*H388)+($K388*'Labor Cost'!$A$2)+L388)+2.25,($J388*H388)+($K388*'Labor Cost'!$A$2)+L388)</f>
        <v>12.701666666666666</v>
      </c>
      <c r="N388" s="38">
        <f t="shared" si="170"/>
        <v>15.877083333333333</v>
      </c>
      <c r="O388" s="38">
        <f t="shared" si="171"/>
        <v>16.512166666666666</v>
      </c>
      <c r="P388" s="38">
        <f t="shared" si="172"/>
        <v>17.14725</v>
      </c>
      <c r="Q388" s="38">
        <f t="shared" si="173"/>
        <v>17.78233333333333</v>
      </c>
      <c r="R388" s="38">
        <f t="shared" si="174"/>
        <v>18.417416666666664</v>
      </c>
      <c r="S388" s="38">
        <f t="shared" si="175"/>
        <v>16</v>
      </c>
      <c r="T388" s="38">
        <f t="shared" si="176"/>
        <v>16.5</v>
      </c>
      <c r="U388" s="38">
        <f t="shared" si="177"/>
        <v>17.25</v>
      </c>
      <c r="V388" s="38">
        <f t="shared" si="178"/>
        <v>17.75</v>
      </c>
    </row>
    <row r="389" spans="1:22" ht="21" customHeight="1" x14ac:dyDescent="0.2">
      <c r="A389" s="19" t="s">
        <v>1120</v>
      </c>
      <c r="B389" s="19" t="s">
        <v>237</v>
      </c>
      <c r="C389" s="20" t="s">
        <v>19</v>
      </c>
      <c r="D389" s="20" t="s">
        <v>384</v>
      </c>
      <c r="E389" s="20" t="s">
        <v>388</v>
      </c>
      <c r="F389" s="20" t="s">
        <v>419</v>
      </c>
      <c r="G389" s="33">
        <v>18</v>
      </c>
      <c r="H389" s="34">
        <f>VLOOKUP($C389,'Raw Cost'!$A$1:$B$484,2,FALSE)/G389</f>
        <v>2.5</v>
      </c>
      <c r="I389" s="34">
        <f t="shared" si="169"/>
        <v>0.15625</v>
      </c>
      <c r="J389" s="35">
        <v>3</v>
      </c>
      <c r="K389" s="35">
        <v>0.15</v>
      </c>
      <c r="L389" s="36">
        <f>VLOOKUP($F389,'Packaging Cost'!$A$1:$F$43,6,FALSE)</f>
        <v>3.0100000000000002</v>
      </c>
      <c r="M389" s="37">
        <f>IF($E389="Snakpak",(($J389*H389)+($K389*'Labor Cost'!$A$2)+L389)+2.25,($J389*H389)+($K389*'Labor Cost'!$A$2)+L389)</f>
        <v>14.035</v>
      </c>
      <c r="N389" s="38">
        <f t="shared" si="170"/>
        <v>17.543749999999999</v>
      </c>
      <c r="O389" s="38">
        <f t="shared" si="171"/>
        <v>18.2455</v>
      </c>
      <c r="P389" s="38">
        <f t="shared" si="172"/>
        <v>18.94725</v>
      </c>
      <c r="Q389" s="38">
        <f t="shared" si="173"/>
        <v>19.648999999999997</v>
      </c>
      <c r="R389" s="38">
        <f t="shared" si="174"/>
        <v>20.350749999999998</v>
      </c>
      <c r="S389" s="38">
        <f t="shared" si="175"/>
        <v>17.5</v>
      </c>
      <c r="T389" s="38">
        <f t="shared" si="176"/>
        <v>18.25</v>
      </c>
      <c r="U389" s="38">
        <f t="shared" si="177"/>
        <v>19</v>
      </c>
      <c r="V389" s="38">
        <f t="shared" si="178"/>
        <v>19.75</v>
      </c>
    </row>
    <row r="390" spans="1:22" ht="21" customHeight="1" x14ac:dyDescent="0.2">
      <c r="A390" s="19" t="s">
        <v>1121</v>
      </c>
      <c r="B390" s="19" t="s">
        <v>237</v>
      </c>
      <c r="C390" s="20" t="s">
        <v>20</v>
      </c>
      <c r="D390" s="20" t="s">
        <v>384</v>
      </c>
      <c r="E390" s="20" t="s">
        <v>388</v>
      </c>
      <c r="F390" s="20" t="s">
        <v>419</v>
      </c>
      <c r="G390" s="33">
        <v>15</v>
      </c>
      <c r="H390" s="34">
        <f>VLOOKUP($C390,'Raw Cost'!$A$1:$B$484,2,FALSE)/G390</f>
        <v>1.7333333333333334</v>
      </c>
      <c r="I390" s="34">
        <f t="shared" si="169"/>
        <v>0.10833333333333334</v>
      </c>
      <c r="J390" s="35">
        <v>3</v>
      </c>
      <c r="K390" s="35">
        <v>0.15</v>
      </c>
      <c r="L390" s="36">
        <f>VLOOKUP($F390,'Packaging Cost'!$A$1:$F$43,6,FALSE)</f>
        <v>3.0100000000000002</v>
      </c>
      <c r="M390" s="37">
        <f>IF($E390="Snakpak",(($J390*H390)+($K390*'Labor Cost'!$A$2)+L390)+2.25,($J390*H390)+($K390*'Labor Cost'!$A$2)+L390)</f>
        <v>11.734999999999999</v>
      </c>
      <c r="N390" s="38">
        <f t="shared" si="170"/>
        <v>14.668749999999999</v>
      </c>
      <c r="O390" s="38">
        <f t="shared" si="171"/>
        <v>15.2555</v>
      </c>
      <c r="P390" s="38">
        <f t="shared" si="172"/>
        <v>15.84225</v>
      </c>
      <c r="Q390" s="38">
        <f t="shared" si="173"/>
        <v>16.428999999999998</v>
      </c>
      <c r="R390" s="38">
        <f t="shared" si="174"/>
        <v>17.015749999999997</v>
      </c>
      <c r="S390" s="38">
        <f t="shared" si="175"/>
        <v>14.75</v>
      </c>
      <c r="T390" s="38">
        <f t="shared" si="176"/>
        <v>15.25</v>
      </c>
      <c r="U390" s="38">
        <f t="shared" si="177"/>
        <v>15.75</v>
      </c>
      <c r="V390" s="38">
        <f t="shared" si="178"/>
        <v>16.5</v>
      </c>
    </row>
    <row r="391" spans="1:22" ht="21" customHeight="1" x14ac:dyDescent="0.2">
      <c r="A391" s="19" t="s">
        <v>1122</v>
      </c>
      <c r="B391" s="19" t="s">
        <v>237</v>
      </c>
      <c r="C391" s="20" t="s">
        <v>23</v>
      </c>
      <c r="D391" s="20" t="s">
        <v>384</v>
      </c>
      <c r="E391" s="20" t="s">
        <v>388</v>
      </c>
      <c r="F391" s="20" t="s">
        <v>419</v>
      </c>
      <c r="G391" s="33">
        <v>19</v>
      </c>
      <c r="H391" s="34">
        <f>VLOOKUP($C391,'Raw Cost'!$A$1:$B$484,2,FALSE)/G391</f>
        <v>2.2105263157894739</v>
      </c>
      <c r="I391" s="34">
        <f t="shared" si="169"/>
        <v>0.13815789473684212</v>
      </c>
      <c r="J391" s="35">
        <v>3</v>
      </c>
      <c r="K391" s="35">
        <v>0.15</v>
      </c>
      <c r="L391" s="36">
        <f>VLOOKUP($F391,'Packaging Cost'!$A$1:$F$43,6,FALSE)</f>
        <v>3.0100000000000002</v>
      </c>
      <c r="M391" s="37">
        <f>IF($E391="Snakpak",(($J391*H391)+($K391*'Labor Cost'!$A$2)+L391)+2.25,($J391*H391)+($K391*'Labor Cost'!$A$2)+L391)</f>
        <v>13.166578947368421</v>
      </c>
      <c r="N391" s="38">
        <f t="shared" si="170"/>
        <v>16.458223684210527</v>
      </c>
      <c r="O391" s="38">
        <f t="shared" si="171"/>
        <v>17.116552631578948</v>
      </c>
      <c r="P391" s="38">
        <f t="shared" si="172"/>
        <v>17.774881578947369</v>
      </c>
      <c r="Q391" s="38">
        <f t="shared" si="173"/>
        <v>18.43321052631579</v>
      </c>
      <c r="R391" s="38">
        <f t="shared" si="174"/>
        <v>19.091539473684211</v>
      </c>
      <c r="S391" s="38">
        <f t="shared" si="175"/>
        <v>16.5</v>
      </c>
      <c r="T391" s="38">
        <f t="shared" si="176"/>
        <v>17</v>
      </c>
      <c r="U391" s="38">
        <f t="shared" si="177"/>
        <v>17.75</v>
      </c>
      <c r="V391" s="38">
        <f t="shared" si="178"/>
        <v>18.5</v>
      </c>
    </row>
    <row r="392" spans="1:22" ht="21" customHeight="1" x14ac:dyDescent="0.2">
      <c r="A392" s="19" t="s">
        <v>1123</v>
      </c>
      <c r="B392" s="19" t="s">
        <v>237</v>
      </c>
      <c r="C392" s="20" t="s">
        <v>25</v>
      </c>
      <c r="D392" s="20" t="s">
        <v>384</v>
      </c>
      <c r="E392" s="20" t="s">
        <v>388</v>
      </c>
      <c r="F392" s="20" t="s">
        <v>419</v>
      </c>
      <c r="G392" s="33">
        <v>6</v>
      </c>
      <c r="H392" s="34">
        <f>VLOOKUP($C392,'Raw Cost'!$A$1:$B$484,2,FALSE)/G392</f>
        <v>2.3333333333333335</v>
      </c>
      <c r="I392" s="34">
        <f t="shared" si="169"/>
        <v>0.14583333333333334</v>
      </c>
      <c r="J392" s="35">
        <v>3</v>
      </c>
      <c r="K392" s="35">
        <v>0.15</v>
      </c>
      <c r="L392" s="36">
        <f>VLOOKUP($F392,'Packaging Cost'!$A$1:$F$43,6,FALSE)</f>
        <v>3.0100000000000002</v>
      </c>
      <c r="M392" s="37">
        <f>IF($E392="Snakpak",(($J392*H392)+($K392*'Labor Cost'!$A$2)+L392)+2.25,($J392*H392)+($K392*'Labor Cost'!$A$2)+L392)</f>
        <v>13.535</v>
      </c>
      <c r="N392" s="38">
        <f t="shared" si="170"/>
        <v>16.918749999999999</v>
      </c>
      <c r="O392" s="38">
        <f t="shared" si="171"/>
        <v>17.595500000000001</v>
      </c>
      <c r="P392" s="38">
        <f t="shared" si="172"/>
        <v>18.27225</v>
      </c>
      <c r="Q392" s="38">
        <f t="shared" si="173"/>
        <v>18.948999999999998</v>
      </c>
      <c r="R392" s="38">
        <f t="shared" si="174"/>
        <v>19.62575</v>
      </c>
      <c r="S392" s="38">
        <f t="shared" si="175"/>
        <v>17</v>
      </c>
      <c r="T392" s="38">
        <f t="shared" si="176"/>
        <v>17.5</v>
      </c>
      <c r="U392" s="38">
        <f t="shared" si="177"/>
        <v>18.25</v>
      </c>
      <c r="V392" s="38">
        <f t="shared" si="178"/>
        <v>19</v>
      </c>
    </row>
    <row r="393" spans="1:22" ht="21" customHeight="1" x14ac:dyDescent="0.2">
      <c r="A393" s="19" t="s">
        <v>1124</v>
      </c>
      <c r="B393" s="19" t="s">
        <v>237</v>
      </c>
      <c r="C393" s="20" t="s">
        <v>31</v>
      </c>
      <c r="D393" s="20" t="s">
        <v>384</v>
      </c>
      <c r="E393" s="20" t="s">
        <v>388</v>
      </c>
      <c r="F393" s="20" t="s">
        <v>419</v>
      </c>
      <c r="G393" s="33">
        <v>40</v>
      </c>
      <c r="H393" s="34">
        <f>VLOOKUP($C393,'Raw Cost'!$A$1:$B$484,2,FALSE)/G393</f>
        <v>1</v>
      </c>
      <c r="I393" s="34">
        <f t="shared" si="169"/>
        <v>6.25E-2</v>
      </c>
      <c r="J393" s="35">
        <v>3</v>
      </c>
      <c r="K393" s="35">
        <v>0.15</v>
      </c>
      <c r="L393" s="36">
        <f>VLOOKUP($F393,'Packaging Cost'!$A$1:$F$43,6,FALSE)</f>
        <v>3.0100000000000002</v>
      </c>
      <c r="M393" s="37">
        <f>IF($E393="Snakpak",(($J393*H393)+($K393*'Labor Cost'!$A$2)+L393)+2.25,($J393*H393)+($K393*'Labor Cost'!$A$2)+L393)</f>
        <v>9.5350000000000001</v>
      </c>
      <c r="N393" s="38">
        <f t="shared" si="170"/>
        <v>11.918749999999999</v>
      </c>
      <c r="O393" s="38">
        <f t="shared" si="171"/>
        <v>12.3955</v>
      </c>
      <c r="P393" s="38">
        <f t="shared" si="172"/>
        <v>12.872250000000001</v>
      </c>
      <c r="Q393" s="38">
        <f t="shared" si="173"/>
        <v>13.349</v>
      </c>
      <c r="R393" s="38">
        <f t="shared" si="174"/>
        <v>13.825749999999999</v>
      </c>
      <c r="S393" s="38">
        <f t="shared" si="175"/>
        <v>12</v>
      </c>
      <c r="T393" s="38">
        <f t="shared" si="176"/>
        <v>12.5</v>
      </c>
      <c r="U393" s="38">
        <f t="shared" si="177"/>
        <v>12.75</v>
      </c>
      <c r="V393" s="38">
        <f t="shared" si="178"/>
        <v>13.25</v>
      </c>
    </row>
    <row r="394" spans="1:22" ht="21" customHeight="1" x14ac:dyDescent="0.2">
      <c r="A394" s="19" t="s">
        <v>1125</v>
      </c>
      <c r="B394" s="19" t="s">
        <v>237</v>
      </c>
      <c r="C394" s="20" t="s">
        <v>35</v>
      </c>
      <c r="D394" s="20" t="s">
        <v>384</v>
      </c>
      <c r="E394" s="20" t="s">
        <v>388</v>
      </c>
      <c r="F394" s="20" t="s">
        <v>419</v>
      </c>
      <c r="G394" s="33">
        <v>29</v>
      </c>
      <c r="H394" s="34">
        <f>VLOOKUP($C394,'Raw Cost'!$A$1:$B$484,2,FALSE)/G394</f>
        <v>1.3448275862068966</v>
      </c>
      <c r="I394" s="34">
        <f t="shared" si="169"/>
        <v>8.4051724137931036E-2</v>
      </c>
      <c r="J394" s="35">
        <v>3</v>
      </c>
      <c r="K394" s="35">
        <v>0.15</v>
      </c>
      <c r="L394" s="36">
        <f>VLOOKUP($F394,'Packaging Cost'!$A$1:$F$43,6,FALSE)</f>
        <v>3.0100000000000002</v>
      </c>
      <c r="M394" s="37">
        <f>IF($E394="Snakpak",(($J394*H394)+($K394*'Labor Cost'!$A$2)+L394)+2.25,($J394*H394)+($K394*'Labor Cost'!$A$2)+L394)</f>
        <v>10.569482758620689</v>
      </c>
      <c r="N394" s="38">
        <f t="shared" si="170"/>
        <v>13.211853448275861</v>
      </c>
      <c r="O394" s="38">
        <f t="shared" si="171"/>
        <v>13.740327586206895</v>
      </c>
      <c r="P394" s="38">
        <f t="shared" si="172"/>
        <v>14.26880172413793</v>
      </c>
      <c r="Q394" s="38">
        <f t="shared" si="173"/>
        <v>14.797275862068963</v>
      </c>
      <c r="R394" s="38">
        <f t="shared" si="174"/>
        <v>15.325749999999998</v>
      </c>
      <c r="S394" s="38">
        <f t="shared" si="175"/>
        <v>13.25</v>
      </c>
      <c r="T394" s="38">
        <f t="shared" si="176"/>
        <v>13.75</v>
      </c>
      <c r="U394" s="38">
        <f t="shared" si="177"/>
        <v>14.25</v>
      </c>
      <c r="V394" s="38">
        <f t="shared" si="178"/>
        <v>14.75</v>
      </c>
    </row>
    <row r="395" spans="1:22" ht="21" customHeight="1" x14ac:dyDescent="0.2">
      <c r="A395" s="19" t="s">
        <v>1126</v>
      </c>
      <c r="B395" s="19" t="s">
        <v>237</v>
      </c>
      <c r="C395" s="20" t="s">
        <v>39</v>
      </c>
      <c r="D395" s="20" t="s">
        <v>384</v>
      </c>
      <c r="E395" s="20" t="s">
        <v>388</v>
      </c>
      <c r="F395" s="20" t="s">
        <v>419</v>
      </c>
      <c r="G395" s="33">
        <v>8.5</v>
      </c>
      <c r="H395" s="34">
        <f>VLOOKUP($C395,'Raw Cost'!$A$1:$B$484,2,FALSE)/G395</f>
        <v>2.1176470588235294</v>
      </c>
      <c r="I395" s="34">
        <f t="shared" si="169"/>
        <v>0.13235294117647059</v>
      </c>
      <c r="J395" s="35">
        <v>3</v>
      </c>
      <c r="K395" s="35">
        <v>0.15</v>
      </c>
      <c r="L395" s="36">
        <f>VLOOKUP($F395,'Packaging Cost'!$A$1:$F$43,6,FALSE)</f>
        <v>3.0100000000000002</v>
      </c>
      <c r="M395" s="37">
        <f>IF($E395="Snakpak",(($J395*H395)+($K395*'Labor Cost'!$A$2)+L395)+2.25,($J395*H395)+($K395*'Labor Cost'!$A$2)+L395)</f>
        <v>12.887941176470589</v>
      </c>
      <c r="N395" s="38">
        <f t="shared" si="170"/>
        <v>16.109926470588235</v>
      </c>
      <c r="O395" s="38">
        <f t="shared" si="171"/>
        <v>16.754323529411767</v>
      </c>
      <c r="P395" s="38">
        <f t="shared" si="172"/>
        <v>17.398720588235296</v>
      </c>
      <c r="Q395" s="38">
        <f t="shared" si="173"/>
        <v>18.043117647058825</v>
      </c>
      <c r="R395" s="38">
        <f t="shared" si="174"/>
        <v>18.687514705882354</v>
      </c>
      <c r="S395" s="38">
        <f t="shared" si="175"/>
        <v>16</v>
      </c>
      <c r="T395" s="38">
        <f t="shared" si="176"/>
        <v>16.75</v>
      </c>
      <c r="U395" s="38">
        <f t="shared" si="177"/>
        <v>17.5</v>
      </c>
      <c r="V395" s="38">
        <f t="shared" si="178"/>
        <v>18</v>
      </c>
    </row>
    <row r="396" spans="1:22" ht="21" customHeight="1" x14ac:dyDescent="0.2">
      <c r="A396" s="19" t="s">
        <v>1127</v>
      </c>
      <c r="B396" s="19" t="s">
        <v>237</v>
      </c>
      <c r="C396" s="20" t="s">
        <v>58</v>
      </c>
      <c r="D396" s="20" t="s">
        <v>384</v>
      </c>
      <c r="E396" s="20" t="s">
        <v>388</v>
      </c>
      <c r="F396" s="20" t="s">
        <v>419</v>
      </c>
      <c r="G396" s="33">
        <v>7.5</v>
      </c>
      <c r="H396" s="34">
        <f>VLOOKUP($C396,'Raw Cost'!$A$1:$B$484,2,FALSE)/G396</f>
        <v>2.2666666666666666</v>
      </c>
      <c r="I396" s="34">
        <f t="shared" si="169"/>
        <v>0.14166666666666666</v>
      </c>
      <c r="J396" s="35">
        <v>3</v>
      </c>
      <c r="K396" s="35">
        <v>0.15</v>
      </c>
      <c r="L396" s="36">
        <f>VLOOKUP($F396,'Packaging Cost'!$A$1:$F$43,6,FALSE)</f>
        <v>3.0100000000000002</v>
      </c>
      <c r="M396" s="37">
        <f>IF($E396="Snakpak",(($J396*H396)+($K396*'Labor Cost'!$A$2)+L396)+2.25,($J396*H396)+($K396*'Labor Cost'!$A$2)+L396)</f>
        <v>13.334999999999999</v>
      </c>
      <c r="N396" s="38">
        <f t="shared" si="170"/>
        <v>16.668749999999999</v>
      </c>
      <c r="O396" s="38">
        <f t="shared" si="171"/>
        <v>17.3355</v>
      </c>
      <c r="P396" s="38">
        <f t="shared" si="172"/>
        <v>18.00225</v>
      </c>
      <c r="Q396" s="38">
        <f t="shared" si="173"/>
        <v>18.668999999999997</v>
      </c>
      <c r="R396" s="38">
        <f t="shared" si="174"/>
        <v>19.335749999999997</v>
      </c>
      <c r="S396" s="38">
        <f t="shared" si="175"/>
        <v>16.75</v>
      </c>
      <c r="T396" s="38">
        <f t="shared" si="176"/>
        <v>17.25</v>
      </c>
      <c r="U396" s="38">
        <f t="shared" si="177"/>
        <v>18</v>
      </c>
      <c r="V396" s="38">
        <f t="shared" si="178"/>
        <v>18.75</v>
      </c>
    </row>
    <row r="397" spans="1:22" ht="21" customHeight="1" x14ac:dyDescent="0.2">
      <c r="A397" s="19" t="s">
        <v>1128</v>
      </c>
      <c r="B397" s="19" t="s">
        <v>237</v>
      </c>
      <c r="C397" s="20" t="s">
        <v>59</v>
      </c>
      <c r="D397" s="20" t="s">
        <v>384</v>
      </c>
      <c r="E397" s="20" t="s">
        <v>388</v>
      </c>
      <c r="F397" s="20" t="s">
        <v>419</v>
      </c>
      <c r="G397" s="33">
        <v>8</v>
      </c>
      <c r="H397" s="34">
        <f>VLOOKUP($C397,'Raw Cost'!$A$1:$B$484,2,FALSE)/G397</f>
        <v>2</v>
      </c>
      <c r="I397" s="34">
        <f t="shared" si="169"/>
        <v>0.125</v>
      </c>
      <c r="J397" s="35">
        <v>3</v>
      </c>
      <c r="K397" s="35">
        <v>0.15</v>
      </c>
      <c r="L397" s="36">
        <f>VLOOKUP($F397,'Packaging Cost'!$A$1:$F$43,6,FALSE)</f>
        <v>3.0100000000000002</v>
      </c>
      <c r="M397" s="37">
        <f>IF($E397="Snakpak",(($J397*H397)+($K397*'Labor Cost'!$A$2)+L397)+2.25,($J397*H397)+($K397*'Labor Cost'!$A$2)+L397)</f>
        <v>12.535</v>
      </c>
      <c r="N397" s="38">
        <f t="shared" si="170"/>
        <v>15.668749999999999</v>
      </c>
      <c r="O397" s="38">
        <f t="shared" si="171"/>
        <v>16.295500000000001</v>
      </c>
      <c r="P397" s="38">
        <f t="shared" si="172"/>
        <v>16.922250000000002</v>
      </c>
      <c r="Q397" s="38">
        <f t="shared" si="173"/>
        <v>17.548999999999999</v>
      </c>
      <c r="R397" s="38">
        <f t="shared" si="174"/>
        <v>18.175750000000001</v>
      </c>
      <c r="S397" s="38">
        <f t="shared" si="175"/>
        <v>15.75</v>
      </c>
      <c r="T397" s="38">
        <f t="shared" si="176"/>
        <v>16.25</v>
      </c>
      <c r="U397" s="38">
        <f t="shared" si="177"/>
        <v>17</v>
      </c>
      <c r="V397" s="38">
        <f t="shared" si="178"/>
        <v>17.5</v>
      </c>
    </row>
    <row r="398" spans="1:22" ht="21" customHeight="1" x14ac:dyDescent="0.2">
      <c r="A398" s="19" t="s">
        <v>1129</v>
      </c>
      <c r="B398" s="19" t="s">
        <v>237</v>
      </c>
      <c r="C398" s="20" t="s">
        <v>580</v>
      </c>
      <c r="D398" s="20" t="s">
        <v>384</v>
      </c>
      <c r="E398" s="20" t="s">
        <v>388</v>
      </c>
      <c r="F398" s="20" t="s">
        <v>419</v>
      </c>
      <c r="G398" s="33">
        <v>4</v>
      </c>
      <c r="H398" s="34">
        <f>VLOOKUP($C398,'Raw Cost'!$A$1:$B$484,2,FALSE)/G398</f>
        <v>1.7891339869281047</v>
      </c>
      <c r="I398" s="34">
        <f t="shared" si="169"/>
        <v>0.11182087418300654</v>
      </c>
      <c r="J398" s="35">
        <v>3</v>
      </c>
      <c r="K398" s="35">
        <v>0.15</v>
      </c>
      <c r="L398" s="36">
        <f>VLOOKUP($F398,'Packaging Cost'!$A$1:$F$43,6,FALSE)</f>
        <v>3.0100000000000002</v>
      </c>
      <c r="M398" s="37">
        <f>IF($E398="Snakpak",(($J398*H398)+($K398*'Labor Cost'!$A$2)+L398)+2.25,($J398*H398)+($K398*'Labor Cost'!$A$2)+L398)</f>
        <v>11.902401960784314</v>
      </c>
      <c r="N398" s="38">
        <f t="shared" si="170"/>
        <v>14.878002450980393</v>
      </c>
      <c r="O398" s="38">
        <f t="shared" si="171"/>
        <v>15.473122549019608</v>
      </c>
      <c r="P398" s="38">
        <f t="shared" si="172"/>
        <v>16.068242647058824</v>
      </c>
      <c r="Q398" s="38">
        <f t="shared" si="173"/>
        <v>16.663362745098038</v>
      </c>
      <c r="R398" s="38">
        <f t="shared" si="174"/>
        <v>17.258482843137255</v>
      </c>
      <c r="S398" s="38">
        <f t="shared" si="175"/>
        <v>15</v>
      </c>
      <c r="T398" s="38">
        <f t="shared" si="176"/>
        <v>15.5</v>
      </c>
      <c r="U398" s="38">
        <f t="shared" si="177"/>
        <v>16</v>
      </c>
      <c r="V398" s="38">
        <f t="shared" si="178"/>
        <v>16.75</v>
      </c>
    </row>
    <row r="399" spans="1:22" ht="21" customHeight="1" x14ac:dyDescent="0.2">
      <c r="A399" s="19" t="s">
        <v>1130</v>
      </c>
      <c r="B399" s="19" t="s">
        <v>1106</v>
      </c>
      <c r="C399" s="20" t="s">
        <v>1108</v>
      </c>
      <c r="D399" s="20" t="s">
        <v>384</v>
      </c>
      <c r="E399" s="20" t="s">
        <v>388</v>
      </c>
      <c r="F399" s="20" t="s">
        <v>419</v>
      </c>
      <c r="G399" s="33">
        <v>3</v>
      </c>
      <c r="H399" s="34">
        <f>VLOOKUP($C399,'Raw Cost'!$A$1:$B$484,2,FALSE)/G399</f>
        <v>2.5877005347593585</v>
      </c>
      <c r="I399" s="34">
        <f t="shared" si="169"/>
        <v>0.1617312834224599</v>
      </c>
      <c r="J399" s="35">
        <v>3</v>
      </c>
      <c r="K399" s="35">
        <v>0.15</v>
      </c>
      <c r="L399" s="36">
        <f>VLOOKUP($F399,'Packaging Cost'!$A$1:$F$43,6,FALSE)</f>
        <v>3.0100000000000002</v>
      </c>
      <c r="M399" s="37">
        <f>IF($E399="Snakpak",(($J399*H399)+($K399*'Labor Cost'!$A$2)+L399)+2.25,($J399*H399)+($K399*'Labor Cost'!$A$2)+L399)</f>
        <v>14.298101604278076</v>
      </c>
      <c r="N399" s="38">
        <f t="shared" si="170"/>
        <v>17.872627005347596</v>
      </c>
      <c r="O399" s="38">
        <f t="shared" si="171"/>
        <v>18.587532085561499</v>
      </c>
      <c r="P399" s="38">
        <f t="shared" si="172"/>
        <v>19.302437165775402</v>
      </c>
      <c r="Q399" s="38">
        <f t="shared" si="173"/>
        <v>20.017342245989305</v>
      </c>
      <c r="R399" s="38">
        <f t="shared" si="174"/>
        <v>20.732247326203208</v>
      </c>
      <c r="S399" s="38">
        <f t="shared" si="175"/>
        <v>17.75</v>
      </c>
      <c r="T399" s="38">
        <f t="shared" si="176"/>
        <v>18.5</v>
      </c>
      <c r="U399" s="38">
        <f t="shared" si="177"/>
        <v>19.25</v>
      </c>
      <c r="V399" s="38">
        <f t="shared" si="178"/>
        <v>20</v>
      </c>
    </row>
    <row r="400" spans="1:22" ht="21" customHeight="1" x14ac:dyDescent="0.2">
      <c r="A400" s="40"/>
      <c r="B400" s="40"/>
      <c r="C400" s="40"/>
      <c r="D400" s="40"/>
      <c r="E400" s="40"/>
      <c r="F400" s="40"/>
      <c r="G400" s="41"/>
      <c r="H400" s="42"/>
      <c r="I400" s="42"/>
      <c r="J400" s="43"/>
      <c r="K400" s="43"/>
      <c r="L400" s="44"/>
      <c r="M400" s="41"/>
      <c r="N400" s="43"/>
      <c r="O400" s="43"/>
      <c r="P400" s="43"/>
      <c r="Q400" s="43"/>
      <c r="R400" s="43"/>
      <c r="S400" s="43"/>
      <c r="T400" s="43"/>
      <c r="U400" s="43"/>
    </row>
    <row r="401" spans="1:21" ht="21" customHeight="1" x14ac:dyDescent="0.2">
      <c r="A401" s="40"/>
      <c r="B401" s="40"/>
      <c r="C401" s="40"/>
      <c r="D401" s="40"/>
      <c r="E401" s="40"/>
      <c r="F401" s="40"/>
      <c r="G401" s="41"/>
      <c r="H401" s="42"/>
      <c r="I401" s="42"/>
      <c r="J401" s="43"/>
      <c r="K401" s="43"/>
      <c r="L401" s="44"/>
      <c r="M401" s="41"/>
      <c r="N401" s="43"/>
      <c r="O401" s="43"/>
      <c r="P401" s="43"/>
      <c r="Q401" s="43"/>
      <c r="R401" s="43"/>
      <c r="S401" s="43"/>
      <c r="T401" s="43"/>
      <c r="U401" s="43"/>
    </row>
    <row r="402" spans="1:21" ht="21" customHeight="1" x14ac:dyDescent="0.2">
      <c r="A402" s="40"/>
      <c r="B402" s="40"/>
      <c r="C402" s="40"/>
      <c r="D402" s="40"/>
      <c r="E402" s="40"/>
      <c r="F402" s="40"/>
      <c r="G402" s="41"/>
      <c r="H402" s="42"/>
      <c r="I402" s="42"/>
      <c r="J402" s="43"/>
      <c r="K402" s="43"/>
      <c r="L402" s="44"/>
      <c r="M402" s="41"/>
      <c r="N402" s="43"/>
      <c r="O402" s="43"/>
      <c r="P402" s="43"/>
      <c r="Q402" s="43"/>
      <c r="R402" s="43"/>
      <c r="S402" s="43"/>
      <c r="T402" s="43"/>
      <c r="U402" s="43"/>
    </row>
    <row r="403" spans="1:21" ht="21" customHeight="1" x14ac:dyDescent="0.2">
      <c r="A403" s="40"/>
      <c r="B403" s="40"/>
      <c r="C403" s="40"/>
      <c r="D403" s="40"/>
      <c r="E403" s="40"/>
      <c r="F403" s="40"/>
      <c r="G403" s="41"/>
      <c r="H403" s="42"/>
      <c r="I403" s="42"/>
      <c r="J403" s="43"/>
      <c r="K403" s="43"/>
      <c r="L403" s="44"/>
      <c r="M403" s="41"/>
      <c r="N403" s="43"/>
      <c r="O403" s="43"/>
      <c r="P403" s="43"/>
      <c r="Q403" s="43"/>
      <c r="R403" s="43"/>
      <c r="S403" s="43"/>
      <c r="T403" s="43"/>
      <c r="U403" s="43"/>
    </row>
    <row r="404" spans="1:21" ht="21" customHeight="1" x14ac:dyDescent="0.2">
      <c r="A404" s="40"/>
      <c r="B404" s="40"/>
      <c r="C404" s="40"/>
      <c r="D404" s="40"/>
      <c r="E404" s="40"/>
      <c r="F404" s="40"/>
      <c r="G404" s="41"/>
      <c r="H404" s="42"/>
      <c r="I404" s="42"/>
      <c r="J404" s="43"/>
      <c r="K404" s="43"/>
      <c r="L404" s="44"/>
      <c r="M404" s="41"/>
      <c r="N404" s="43"/>
      <c r="O404" s="43"/>
      <c r="P404" s="43"/>
      <c r="Q404" s="43"/>
      <c r="R404" s="43"/>
      <c r="S404" s="43"/>
      <c r="T404" s="43"/>
      <c r="U404" s="43"/>
    </row>
    <row r="405" spans="1:21" ht="21" customHeight="1" x14ac:dyDescent="0.2">
      <c r="A405" s="40"/>
      <c r="B405" s="40"/>
      <c r="C405" s="40"/>
      <c r="D405" s="40"/>
      <c r="E405" s="40"/>
      <c r="F405" s="40"/>
      <c r="G405" s="41"/>
      <c r="H405" s="42"/>
      <c r="I405" s="42"/>
      <c r="J405" s="43"/>
      <c r="K405" s="43"/>
      <c r="L405" s="44"/>
      <c r="M405" s="41"/>
      <c r="N405" s="43"/>
      <c r="O405" s="43"/>
      <c r="P405" s="43"/>
      <c r="Q405" s="43"/>
      <c r="R405" s="43"/>
      <c r="S405" s="43"/>
      <c r="T405" s="43"/>
      <c r="U405" s="43"/>
    </row>
    <row r="406" spans="1:21" ht="21" customHeight="1" x14ac:dyDescent="0.2">
      <c r="A406" s="40"/>
      <c r="B406" s="40"/>
      <c r="C406" s="40"/>
      <c r="D406" s="40"/>
      <c r="E406" s="40"/>
      <c r="F406" s="40"/>
      <c r="G406" s="41"/>
      <c r="H406" s="42"/>
      <c r="I406" s="42"/>
      <c r="J406" s="43"/>
      <c r="K406" s="43"/>
      <c r="L406" s="44"/>
      <c r="M406" s="41"/>
      <c r="N406" s="43"/>
      <c r="O406" s="43"/>
      <c r="P406" s="43"/>
      <c r="Q406" s="43"/>
      <c r="R406" s="43"/>
      <c r="S406" s="43"/>
      <c r="T406" s="43"/>
      <c r="U406" s="43"/>
    </row>
    <row r="407" spans="1:21" ht="21" customHeight="1" x14ac:dyDescent="0.2">
      <c r="A407" s="40"/>
      <c r="B407" s="40"/>
      <c r="C407" s="40"/>
      <c r="D407" s="40"/>
      <c r="E407" s="40"/>
      <c r="F407" s="40"/>
      <c r="G407" s="41"/>
      <c r="H407" s="42"/>
      <c r="I407" s="42"/>
      <c r="J407" s="43"/>
      <c r="K407" s="43"/>
      <c r="L407" s="44"/>
      <c r="M407" s="41"/>
      <c r="N407" s="43"/>
      <c r="O407" s="43"/>
      <c r="P407" s="43"/>
      <c r="Q407" s="43"/>
      <c r="R407" s="43"/>
      <c r="S407" s="43"/>
      <c r="T407" s="43"/>
      <c r="U407" s="43"/>
    </row>
    <row r="408" spans="1:21" ht="21" customHeight="1" x14ac:dyDescent="0.2">
      <c r="A408" s="40"/>
      <c r="B408" s="40"/>
      <c r="C408" s="40"/>
      <c r="D408" s="40"/>
      <c r="E408" s="40"/>
      <c r="F408" s="40"/>
      <c r="G408" s="41"/>
      <c r="H408" s="42"/>
      <c r="I408" s="42"/>
      <c r="J408" s="43"/>
      <c r="K408" s="43"/>
      <c r="L408" s="44"/>
      <c r="M408" s="41"/>
      <c r="N408" s="43"/>
      <c r="O408" s="43"/>
      <c r="P408" s="43"/>
      <c r="Q408" s="43"/>
      <c r="R408" s="43"/>
      <c r="S408" s="43"/>
      <c r="T408" s="43"/>
      <c r="U408" s="43"/>
    </row>
    <row r="409" spans="1:21" ht="21" customHeight="1" x14ac:dyDescent="0.2">
      <c r="A409" s="40"/>
      <c r="B409" s="40"/>
      <c r="C409" s="40"/>
      <c r="D409" s="40"/>
      <c r="E409" s="40"/>
      <c r="F409" s="40"/>
      <c r="G409" s="41"/>
      <c r="H409" s="42"/>
      <c r="I409" s="42"/>
      <c r="J409" s="43"/>
      <c r="K409" s="43"/>
      <c r="L409" s="44"/>
      <c r="M409" s="41"/>
      <c r="N409" s="43"/>
      <c r="O409" s="43"/>
      <c r="P409" s="43"/>
      <c r="Q409" s="43"/>
      <c r="R409" s="43"/>
      <c r="S409" s="43"/>
      <c r="T409" s="43"/>
      <c r="U409" s="43"/>
    </row>
    <row r="410" spans="1:21" ht="21" customHeight="1" x14ac:dyDescent="0.2">
      <c r="A410" s="40"/>
      <c r="B410" s="40"/>
      <c r="C410" s="40"/>
      <c r="D410" s="40"/>
      <c r="E410" s="40"/>
      <c r="F410" s="40"/>
      <c r="G410" s="41"/>
      <c r="H410" s="42"/>
      <c r="I410" s="42"/>
      <c r="J410" s="43"/>
      <c r="K410" s="43"/>
      <c r="L410" s="44"/>
      <c r="M410" s="41"/>
      <c r="N410" s="43"/>
      <c r="O410" s="43"/>
      <c r="P410" s="43"/>
      <c r="Q410" s="43"/>
      <c r="R410" s="43"/>
      <c r="S410" s="43"/>
      <c r="T410" s="43"/>
      <c r="U410" s="43"/>
    </row>
    <row r="411" spans="1:21" ht="21" customHeight="1" x14ac:dyDescent="0.2">
      <c r="A411" s="40"/>
      <c r="B411" s="40"/>
      <c r="C411" s="40"/>
      <c r="D411" s="40"/>
      <c r="E411" s="40"/>
      <c r="F411" s="40"/>
      <c r="G411" s="41"/>
      <c r="H411" s="42"/>
      <c r="I411" s="42"/>
      <c r="J411" s="43"/>
      <c r="K411" s="43"/>
      <c r="L411" s="44"/>
      <c r="M411" s="41"/>
      <c r="N411" s="43"/>
      <c r="O411" s="43"/>
      <c r="P411" s="43"/>
      <c r="Q411" s="43"/>
      <c r="R411" s="43"/>
      <c r="S411" s="43"/>
      <c r="T411" s="43"/>
      <c r="U411" s="43"/>
    </row>
    <row r="412" spans="1:21" ht="21" customHeight="1" x14ac:dyDescent="0.2">
      <c r="A412" s="40"/>
      <c r="B412" s="40"/>
      <c r="C412" s="40"/>
      <c r="D412" s="40"/>
      <c r="E412" s="40"/>
      <c r="F412" s="40"/>
      <c r="G412" s="41"/>
      <c r="H412" s="42"/>
      <c r="I412" s="42"/>
      <c r="J412" s="43"/>
      <c r="K412" s="43"/>
      <c r="L412" s="44"/>
      <c r="M412" s="41"/>
      <c r="N412" s="43"/>
      <c r="O412" s="43"/>
      <c r="P412" s="43"/>
      <c r="Q412" s="43"/>
      <c r="R412" s="43"/>
      <c r="S412" s="43"/>
      <c r="T412" s="43"/>
      <c r="U412" s="43"/>
    </row>
    <row r="413" spans="1:21" ht="21" customHeight="1" x14ac:dyDescent="0.2">
      <c r="A413" s="40"/>
      <c r="B413" s="40"/>
      <c r="C413" s="40"/>
      <c r="D413" s="40"/>
      <c r="E413" s="40"/>
      <c r="F413" s="40"/>
      <c r="G413" s="41"/>
      <c r="H413" s="42"/>
      <c r="I413" s="42"/>
      <c r="J413" s="43"/>
      <c r="K413" s="43"/>
      <c r="L413" s="44"/>
      <c r="M413" s="41"/>
      <c r="N413" s="43"/>
      <c r="O413" s="43"/>
      <c r="P413" s="43"/>
      <c r="Q413" s="43"/>
      <c r="R413" s="43"/>
      <c r="S413" s="43"/>
      <c r="T413" s="43"/>
      <c r="U413" s="43"/>
    </row>
    <row r="414" spans="1:21" ht="21" customHeight="1" x14ac:dyDescent="0.2">
      <c r="A414" s="40"/>
      <c r="B414" s="40"/>
      <c r="C414" s="40"/>
      <c r="D414" s="40"/>
      <c r="E414" s="40"/>
      <c r="F414" s="40"/>
      <c r="G414" s="41"/>
      <c r="H414" s="42"/>
      <c r="I414" s="42"/>
      <c r="J414" s="43"/>
      <c r="K414" s="43"/>
      <c r="L414" s="44"/>
      <c r="M414" s="41"/>
      <c r="N414" s="43"/>
      <c r="O414" s="43"/>
      <c r="P414" s="43"/>
      <c r="Q414" s="43"/>
      <c r="R414" s="43"/>
      <c r="S414" s="43"/>
      <c r="T414" s="43"/>
      <c r="U414" s="43"/>
    </row>
    <row r="415" spans="1:21" ht="21" customHeight="1" x14ac:dyDescent="0.2">
      <c r="A415" s="40"/>
      <c r="B415" s="40"/>
      <c r="C415" s="40"/>
      <c r="D415" s="40"/>
      <c r="E415" s="40"/>
      <c r="F415" s="40"/>
      <c r="G415" s="41"/>
      <c r="H415" s="42"/>
      <c r="I415" s="42"/>
      <c r="J415" s="43"/>
      <c r="K415" s="43"/>
      <c r="L415" s="44"/>
      <c r="M415" s="41"/>
      <c r="N415" s="43"/>
      <c r="O415" s="43"/>
      <c r="P415" s="43"/>
      <c r="Q415" s="43"/>
      <c r="R415" s="43"/>
      <c r="S415" s="43"/>
      <c r="T415" s="43"/>
      <c r="U415" s="43"/>
    </row>
    <row r="416" spans="1:21" ht="21" customHeight="1" x14ac:dyDescent="0.2">
      <c r="A416" s="40"/>
      <c r="B416" s="40"/>
      <c r="C416" s="40"/>
      <c r="D416" s="40"/>
      <c r="E416" s="40"/>
      <c r="F416" s="40"/>
      <c r="G416" s="41"/>
      <c r="H416" s="42"/>
      <c r="I416" s="42"/>
      <c r="J416" s="43"/>
      <c r="K416" s="43"/>
      <c r="L416" s="44"/>
      <c r="M416" s="41"/>
      <c r="N416" s="43"/>
      <c r="O416" s="43"/>
      <c r="P416" s="43"/>
      <c r="Q416" s="43"/>
      <c r="R416" s="43"/>
      <c r="S416" s="43"/>
      <c r="T416" s="43"/>
      <c r="U416" s="43"/>
    </row>
    <row r="417" spans="1:21" ht="21" customHeight="1" x14ac:dyDescent="0.2">
      <c r="A417" s="40"/>
      <c r="B417" s="40"/>
      <c r="C417" s="40"/>
      <c r="D417" s="40"/>
      <c r="E417" s="40"/>
      <c r="F417" s="40"/>
      <c r="G417" s="41"/>
      <c r="H417" s="42"/>
      <c r="I417" s="42"/>
      <c r="J417" s="43"/>
      <c r="K417" s="43"/>
      <c r="L417" s="44"/>
      <c r="M417" s="41"/>
      <c r="N417" s="43"/>
      <c r="O417" s="43"/>
      <c r="P417" s="43"/>
      <c r="Q417" s="43"/>
      <c r="R417" s="43"/>
      <c r="S417" s="43"/>
      <c r="T417" s="43"/>
      <c r="U417" s="43"/>
    </row>
    <row r="418" spans="1:21" ht="21" customHeight="1" x14ac:dyDescent="0.2">
      <c r="A418" s="40"/>
      <c r="B418" s="40"/>
      <c r="C418" s="40"/>
      <c r="D418" s="40"/>
      <c r="E418" s="40"/>
      <c r="F418" s="40"/>
      <c r="G418" s="41"/>
      <c r="H418" s="42"/>
      <c r="I418" s="42"/>
      <c r="J418" s="43"/>
      <c r="K418" s="43"/>
      <c r="L418" s="44"/>
      <c r="M418" s="41"/>
      <c r="N418" s="43"/>
      <c r="O418" s="43"/>
      <c r="P418" s="43"/>
      <c r="Q418" s="43"/>
      <c r="R418" s="43"/>
      <c r="S418" s="43"/>
      <c r="T418" s="43"/>
      <c r="U418" s="43"/>
    </row>
    <row r="419" spans="1:21" ht="21" customHeight="1" x14ac:dyDescent="0.2">
      <c r="A419" s="40"/>
      <c r="B419" s="40"/>
      <c r="C419" s="40"/>
      <c r="D419" s="40"/>
      <c r="E419" s="40"/>
      <c r="F419" s="40"/>
      <c r="G419" s="41"/>
      <c r="H419" s="42"/>
      <c r="I419" s="42"/>
      <c r="J419" s="43"/>
      <c r="K419" s="43"/>
      <c r="L419" s="44"/>
      <c r="M419" s="41"/>
      <c r="N419" s="43"/>
      <c r="O419" s="43"/>
      <c r="P419" s="43"/>
      <c r="Q419" s="43"/>
      <c r="R419" s="43"/>
      <c r="S419" s="43"/>
      <c r="T419" s="43"/>
      <c r="U419" s="43"/>
    </row>
    <row r="420" spans="1:21" ht="21" customHeight="1" x14ac:dyDescent="0.2">
      <c r="A420" s="40"/>
      <c r="B420" s="40"/>
      <c r="C420" s="40"/>
      <c r="D420" s="40"/>
      <c r="E420" s="40"/>
      <c r="F420" s="40"/>
      <c r="G420" s="41"/>
      <c r="H420" s="42"/>
      <c r="I420" s="42"/>
      <c r="J420" s="43"/>
      <c r="K420" s="43"/>
      <c r="L420" s="44"/>
      <c r="M420" s="41"/>
      <c r="N420" s="43"/>
      <c r="O420" s="43"/>
      <c r="P420" s="43"/>
      <c r="Q420" s="43"/>
      <c r="R420" s="43"/>
      <c r="S420" s="43"/>
      <c r="T420" s="43"/>
      <c r="U420" s="43"/>
    </row>
    <row r="421" spans="1:21" ht="21" customHeight="1" x14ac:dyDescent="0.2">
      <c r="A421" s="40"/>
      <c r="B421" s="40"/>
      <c r="C421" s="40"/>
      <c r="D421" s="40"/>
      <c r="E421" s="40"/>
      <c r="F421" s="40"/>
      <c r="G421" s="41"/>
      <c r="H421" s="42"/>
      <c r="I421" s="42"/>
      <c r="J421" s="43"/>
      <c r="K421" s="43"/>
      <c r="L421" s="44"/>
      <c r="M421" s="41"/>
      <c r="N421" s="43"/>
      <c r="O421" s="43"/>
      <c r="P421" s="43"/>
      <c r="Q421" s="43"/>
      <c r="R421" s="43"/>
      <c r="S421" s="43"/>
      <c r="T421" s="43"/>
      <c r="U421" s="43"/>
    </row>
    <row r="422" spans="1:21" ht="21" customHeight="1" x14ac:dyDescent="0.2">
      <c r="A422" s="40"/>
      <c r="B422" s="40"/>
      <c r="C422" s="40"/>
      <c r="D422" s="40"/>
      <c r="E422" s="40"/>
      <c r="F422" s="40"/>
      <c r="G422" s="41"/>
      <c r="H422" s="42"/>
      <c r="I422" s="42"/>
      <c r="J422" s="43"/>
      <c r="K422" s="43"/>
      <c r="L422" s="44"/>
      <c r="M422" s="41"/>
      <c r="N422" s="43"/>
      <c r="O422" s="43"/>
      <c r="P422" s="43"/>
      <c r="Q422" s="43"/>
      <c r="R422" s="43"/>
      <c r="S422" s="43"/>
      <c r="T422" s="43"/>
      <c r="U422" s="43"/>
    </row>
    <row r="423" spans="1:21" ht="21" customHeight="1" x14ac:dyDescent="0.2">
      <c r="A423" s="40"/>
      <c r="B423" s="40"/>
      <c r="C423" s="40"/>
      <c r="D423" s="40"/>
      <c r="E423" s="40"/>
      <c r="F423" s="40"/>
      <c r="G423" s="41"/>
      <c r="H423" s="42"/>
      <c r="I423" s="42"/>
      <c r="J423" s="43"/>
      <c r="K423" s="43"/>
      <c r="L423" s="44"/>
      <c r="M423" s="41"/>
      <c r="N423" s="43"/>
      <c r="O423" s="43"/>
      <c r="P423" s="43"/>
      <c r="Q423" s="43"/>
      <c r="R423" s="43"/>
      <c r="S423" s="43"/>
      <c r="T423" s="43"/>
      <c r="U423" s="43"/>
    </row>
    <row r="424" spans="1:21" ht="21" customHeight="1" x14ac:dyDescent="0.2">
      <c r="A424" s="40"/>
      <c r="B424" s="40"/>
      <c r="C424" s="40"/>
      <c r="D424" s="40"/>
      <c r="E424" s="40"/>
      <c r="F424" s="40"/>
      <c r="G424" s="41"/>
      <c r="H424" s="42"/>
      <c r="I424" s="42"/>
      <c r="J424" s="43"/>
      <c r="K424" s="43"/>
      <c r="L424" s="44"/>
      <c r="M424" s="41"/>
      <c r="N424" s="43"/>
      <c r="O424" s="43"/>
      <c r="P424" s="43"/>
      <c r="Q424" s="43"/>
      <c r="R424" s="43"/>
      <c r="S424" s="43"/>
      <c r="T424" s="43"/>
      <c r="U424" s="43"/>
    </row>
    <row r="425" spans="1:21" ht="21" customHeight="1" x14ac:dyDescent="0.2">
      <c r="A425" s="40"/>
      <c r="B425" s="40"/>
      <c r="C425" s="40"/>
      <c r="D425" s="40"/>
      <c r="E425" s="40"/>
      <c r="F425" s="40"/>
      <c r="G425" s="41"/>
      <c r="H425" s="42"/>
      <c r="I425" s="42"/>
      <c r="J425" s="43"/>
      <c r="K425" s="43"/>
      <c r="L425" s="44"/>
      <c r="M425" s="41"/>
      <c r="N425" s="43"/>
      <c r="O425" s="43"/>
      <c r="P425" s="43"/>
      <c r="Q425" s="43"/>
      <c r="R425" s="43"/>
      <c r="S425" s="43"/>
      <c r="T425" s="43"/>
      <c r="U425" s="43"/>
    </row>
    <row r="426" spans="1:21" ht="21" customHeight="1" x14ac:dyDescent="0.2">
      <c r="A426" s="40"/>
      <c r="B426" s="40"/>
      <c r="C426" s="40"/>
      <c r="D426" s="40"/>
      <c r="E426" s="40"/>
      <c r="F426" s="40"/>
      <c r="G426" s="41"/>
      <c r="H426" s="42"/>
      <c r="I426" s="42"/>
      <c r="J426" s="43"/>
      <c r="K426" s="43"/>
      <c r="L426" s="44"/>
      <c r="M426" s="41"/>
      <c r="N426" s="43"/>
      <c r="O426" s="43"/>
      <c r="P426" s="43"/>
      <c r="Q426" s="43"/>
      <c r="R426" s="43"/>
      <c r="S426" s="43"/>
      <c r="T426" s="43"/>
      <c r="U426" s="43"/>
    </row>
    <row r="427" spans="1:21" ht="21" customHeight="1" x14ac:dyDescent="0.2">
      <c r="A427" s="40"/>
      <c r="B427" s="40"/>
      <c r="C427" s="40"/>
      <c r="D427" s="40"/>
      <c r="E427" s="40"/>
      <c r="F427" s="40"/>
      <c r="G427" s="41"/>
      <c r="H427" s="42"/>
      <c r="I427" s="42"/>
      <c r="J427" s="43"/>
      <c r="K427" s="43"/>
      <c r="L427" s="44"/>
      <c r="M427" s="41"/>
      <c r="N427" s="43"/>
      <c r="O427" s="43"/>
      <c r="P427" s="43"/>
      <c r="Q427" s="43"/>
      <c r="R427" s="43"/>
      <c r="S427" s="43"/>
      <c r="T427" s="43"/>
      <c r="U427" s="43"/>
    </row>
    <row r="428" spans="1:21" ht="21" customHeight="1" x14ac:dyDescent="0.2">
      <c r="A428" s="40"/>
      <c r="B428" s="40"/>
      <c r="C428" s="40"/>
      <c r="D428" s="40"/>
      <c r="E428" s="40"/>
      <c r="F428" s="40"/>
      <c r="G428" s="41"/>
      <c r="H428" s="42"/>
      <c r="I428" s="42"/>
      <c r="J428" s="43"/>
      <c r="K428" s="43"/>
      <c r="L428" s="44"/>
      <c r="M428" s="41"/>
      <c r="N428" s="43"/>
      <c r="O428" s="43"/>
      <c r="P428" s="43"/>
      <c r="Q428" s="43"/>
      <c r="R428" s="43"/>
      <c r="S428" s="43"/>
      <c r="T428" s="43"/>
      <c r="U428" s="43"/>
    </row>
    <row r="429" spans="1:21" ht="21" customHeight="1" x14ac:dyDescent="0.2">
      <c r="A429" s="40"/>
      <c r="B429" s="40"/>
      <c r="C429" s="40"/>
      <c r="D429" s="40"/>
      <c r="E429" s="40"/>
      <c r="F429" s="40"/>
      <c r="G429" s="41"/>
      <c r="H429" s="42"/>
      <c r="I429" s="42"/>
      <c r="J429" s="43"/>
      <c r="K429" s="43"/>
      <c r="L429" s="44"/>
      <c r="M429" s="41"/>
      <c r="N429" s="43"/>
      <c r="O429" s="43"/>
      <c r="P429" s="43"/>
      <c r="Q429" s="43"/>
      <c r="R429" s="43"/>
      <c r="S429" s="43"/>
      <c r="T429" s="43"/>
      <c r="U429" s="43"/>
    </row>
    <row r="430" spans="1:21" ht="21" customHeight="1" x14ac:dyDescent="0.2">
      <c r="A430" s="40"/>
      <c r="B430" s="40"/>
      <c r="C430" s="40"/>
      <c r="D430" s="40"/>
      <c r="E430" s="40"/>
      <c r="F430" s="40"/>
      <c r="G430" s="41"/>
      <c r="H430" s="42"/>
      <c r="I430" s="42"/>
      <c r="J430" s="43"/>
      <c r="K430" s="43"/>
      <c r="L430" s="44"/>
      <c r="M430" s="41"/>
      <c r="N430" s="43"/>
      <c r="O430" s="43"/>
      <c r="P430" s="43"/>
      <c r="Q430" s="43"/>
      <c r="R430" s="43"/>
      <c r="S430" s="43"/>
      <c r="T430" s="43"/>
      <c r="U430" s="43"/>
    </row>
    <row r="431" spans="1:21" ht="21" customHeight="1" x14ac:dyDescent="0.2">
      <c r="A431" s="40"/>
      <c r="B431" s="40"/>
      <c r="C431" s="40"/>
      <c r="D431" s="40"/>
      <c r="E431" s="40"/>
      <c r="F431" s="40"/>
      <c r="G431" s="41"/>
      <c r="H431" s="42"/>
      <c r="I431" s="42"/>
      <c r="J431" s="43"/>
      <c r="K431" s="43"/>
      <c r="L431" s="44"/>
      <c r="M431" s="41"/>
      <c r="N431" s="43"/>
      <c r="O431" s="43"/>
      <c r="P431" s="43"/>
      <c r="Q431" s="43"/>
      <c r="R431" s="43"/>
      <c r="S431" s="43"/>
      <c r="T431" s="43"/>
      <c r="U431" s="43"/>
    </row>
    <row r="432" spans="1:21" ht="21" customHeight="1" x14ac:dyDescent="0.2">
      <c r="A432" s="40"/>
      <c r="B432" s="40"/>
      <c r="C432" s="40"/>
      <c r="D432" s="40"/>
      <c r="E432" s="40"/>
      <c r="F432" s="40"/>
      <c r="G432" s="41"/>
      <c r="H432" s="42"/>
      <c r="I432" s="42"/>
      <c r="J432" s="43"/>
      <c r="K432" s="43"/>
      <c r="L432" s="44"/>
      <c r="M432" s="41"/>
      <c r="N432" s="43"/>
      <c r="O432" s="43"/>
      <c r="P432" s="43"/>
      <c r="Q432" s="43"/>
      <c r="R432" s="43"/>
      <c r="S432" s="43"/>
      <c r="T432" s="43"/>
      <c r="U432" s="43"/>
    </row>
    <row r="433" spans="1:21" ht="21" customHeight="1" x14ac:dyDescent="0.2">
      <c r="A433" s="40"/>
      <c r="B433" s="40"/>
      <c r="C433" s="40"/>
      <c r="D433" s="40"/>
      <c r="E433" s="40"/>
      <c r="F433" s="40"/>
      <c r="G433" s="41"/>
      <c r="H433" s="42"/>
      <c r="I433" s="42"/>
      <c r="J433" s="43"/>
      <c r="K433" s="43"/>
      <c r="L433" s="44"/>
      <c r="M433" s="41"/>
      <c r="N433" s="43"/>
      <c r="O433" s="43"/>
      <c r="P433" s="43"/>
      <c r="Q433" s="43"/>
      <c r="R433" s="43"/>
      <c r="S433" s="43"/>
      <c r="T433" s="43"/>
      <c r="U433" s="43"/>
    </row>
    <row r="434" spans="1:21" ht="21" customHeight="1" x14ac:dyDescent="0.2">
      <c r="A434" s="40"/>
      <c r="B434" s="40"/>
      <c r="C434" s="40"/>
      <c r="D434" s="40"/>
      <c r="E434" s="40"/>
      <c r="F434" s="40"/>
      <c r="G434" s="41"/>
      <c r="H434" s="42"/>
      <c r="I434" s="42"/>
      <c r="J434" s="43"/>
      <c r="K434" s="43"/>
      <c r="L434" s="44"/>
      <c r="M434" s="41"/>
      <c r="N434" s="43"/>
      <c r="O434" s="43"/>
      <c r="P434" s="43"/>
      <c r="Q434" s="43"/>
      <c r="R434" s="43"/>
      <c r="S434" s="43"/>
      <c r="T434" s="43"/>
      <c r="U434" s="43"/>
    </row>
    <row r="435" spans="1:21" ht="21" customHeight="1" x14ac:dyDescent="0.2">
      <c r="A435" s="40"/>
      <c r="B435" s="40"/>
      <c r="C435" s="40"/>
      <c r="D435" s="40"/>
      <c r="E435" s="40"/>
      <c r="F435" s="40"/>
      <c r="G435" s="41"/>
      <c r="H435" s="42"/>
      <c r="I435" s="42"/>
      <c r="J435" s="43"/>
      <c r="K435" s="43"/>
      <c r="L435" s="44"/>
      <c r="M435" s="41"/>
      <c r="N435" s="43"/>
      <c r="O435" s="43"/>
      <c r="P435" s="43"/>
      <c r="Q435" s="43"/>
      <c r="R435" s="43"/>
      <c r="S435" s="43"/>
      <c r="T435" s="43"/>
      <c r="U435" s="43"/>
    </row>
    <row r="436" spans="1:21" ht="21" customHeight="1" x14ac:dyDescent="0.2">
      <c r="A436" s="40"/>
      <c r="B436" s="40"/>
      <c r="C436" s="40"/>
      <c r="D436" s="40"/>
      <c r="E436" s="40"/>
      <c r="F436" s="40"/>
      <c r="G436" s="41"/>
      <c r="H436" s="42"/>
      <c r="I436" s="42"/>
      <c r="J436" s="43"/>
      <c r="K436" s="43"/>
      <c r="L436" s="44"/>
      <c r="M436" s="41"/>
      <c r="N436" s="43"/>
      <c r="O436" s="43"/>
      <c r="P436" s="43"/>
      <c r="Q436" s="43"/>
      <c r="R436" s="43"/>
      <c r="S436" s="43"/>
      <c r="T436" s="43"/>
      <c r="U436" s="43"/>
    </row>
    <row r="437" spans="1:21" ht="21" customHeight="1" x14ac:dyDescent="0.2">
      <c r="A437" s="40"/>
      <c r="B437" s="40"/>
      <c r="C437" s="40"/>
      <c r="D437" s="40"/>
      <c r="E437" s="40"/>
      <c r="F437" s="40"/>
      <c r="G437" s="41"/>
      <c r="H437" s="42"/>
      <c r="I437" s="42"/>
      <c r="J437" s="43"/>
      <c r="K437" s="43"/>
      <c r="L437" s="44"/>
      <c r="M437" s="41"/>
      <c r="N437" s="43"/>
      <c r="O437" s="43"/>
      <c r="P437" s="43"/>
      <c r="Q437" s="43"/>
      <c r="R437" s="43"/>
      <c r="S437" s="43"/>
      <c r="T437" s="43"/>
      <c r="U437" s="43"/>
    </row>
    <row r="438" spans="1:21" ht="21" customHeight="1" x14ac:dyDescent="0.2">
      <c r="A438" s="40"/>
      <c r="B438" s="40"/>
      <c r="C438" s="40"/>
      <c r="D438" s="40"/>
      <c r="E438" s="40"/>
      <c r="F438" s="40"/>
      <c r="G438" s="41"/>
      <c r="H438" s="42"/>
      <c r="I438" s="42"/>
      <c r="J438" s="43"/>
      <c r="K438" s="43"/>
      <c r="L438" s="44"/>
      <c r="M438" s="41"/>
      <c r="N438" s="43"/>
      <c r="O438" s="43"/>
      <c r="P438" s="43"/>
      <c r="Q438" s="43"/>
      <c r="R438" s="43"/>
      <c r="S438" s="43"/>
      <c r="T438" s="43"/>
      <c r="U438" s="43"/>
    </row>
    <row r="439" spans="1:21" ht="21" customHeight="1" x14ac:dyDescent="0.2">
      <c r="A439" s="40"/>
      <c r="B439" s="40"/>
      <c r="C439" s="40"/>
      <c r="D439" s="40"/>
      <c r="E439" s="40"/>
      <c r="F439" s="40"/>
      <c r="G439" s="41"/>
      <c r="H439" s="42"/>
      <c r="I439" s="42"/>
      <c r="J439" s="43"/>
      <c r="K439" s="43"/>
      <c r="L439" s="44"/>
      <c r="M439" s="41"/>
      <c r="N439" s="43"/>
      <c r="O439" s="43"/>
      <c r="P439" s="43"/>
      <c r="Q439" s="43"/>
      <c r="R439" s="43"/>
      <c r="S439" s="43"/>
      <c r="T439" s="43"/>
      <c r="U439" s="43"/>
    </row>
    <row r="440" spans="1:21" ht="21" customHeight="1" x14ac:dyDescent="0.2">
      <c r="A440" s="40"/>
      <c r="B440" s="40"/>
      <c r="C440" s="40"/>
      <c r="D440" s="40"/>
      <c r="E440" s="40"/>
      <c r="F440" s="40"/>
      <c r="G440" s="41"/>
      <c r="H440" s="42"/>
      <c r="I440" s="42"/>
      <c r="J440" s="43"/>
      <c r="K440" s="43"/>
      <c r="L440" s="44"/>
      <c r="M440" s="41"/>
      <c r="N440" s="43"/>
      <c r="O440" s="43"/>
      <c r="P440" s="43"/>
      <c r="Q440" s="43"/>
      <c r="R440" s="43"/>
      <c r="S440" s="43"/>
      <c r="T440" s="43"/>
      <c r="U440" s="43"/>
    </row>
    <row r="441" spans="1:21" ht="21" customHeight="1" x14ac:dyDescent="0.2">
      <c r="A441" s="40"/>
      <c r="B441" s="40"/>
      <c r="C441" s="40"/>
      <c r="D441" s="40"/>
      <c r="E441" s="40"/>
      <c r="F441" s="40"/>
      <c r="G441" s="41"/>
      <c r="H441" s="42"/>
      <c r="I441" s="42"/>
      <c r="J441" s="43"/>
      <c r="K441" s="43"/>
      <c r="L441" s="44"/>
      <c r="M441" s="41"/>
      <c r="N441" s="43"/>
      <c r="O441" s="43"/>
      <c r="P441" s="43"/>
      <c r="Q441" s="43"/>
      <c r="R441" s="43"/>
      <c r="S441" s="43"/>
      <c r="T441" s="43"/>
      <c r="U441" s="43"/>
    </row>
    <row r="442" spans="1:21" ht="21" customHeight="1" x14ac:dyDescent="0.2">
      <c r="A442" s="40"/>
      <c r="B442" s="40"/>
      <c r="C442" s="40"/>
      <c r="D442" s="40"/>
      <c r="E442" s="40"/>
      <c r="F442" s="40"/>
      <c r="G442" s="41"/>
      <c r="H442" s="42"/>
      <c r="I442" s="42"/>
      <c r="J442" s="43"/>
      <c r="K442" s="43"/>
      <c r="L442" s="44"/>
      <c r="M442" s="41"/>
      <c r="N442" s="43"/>
      <c r="O442" s="43"/>
      <c r="P442" s="43"/>
      <c r="Q442" s="43"/>
      <c r="R442" s="43"/>
      <c r="S442" s="43"/>
      <c r="T442" s="43"/>
      <c r="U442" s="43"/>
    </row>
    <row r="443" spans="1:21" ht="21" customHeight="1" x14ac:dyDescent="0.2">
      <c r="A443" s="40"/>
      <c r="B443" s="40"/>
      <c r="C443" s="40"/>
      <c r="D443" s="40"/>
      <c r="E443" s="40"/>
      <c r="F443" s="40"/>
      <c r="G443" s="41"/>
      <c r="H443" s="42"/>
      <c r="I443" s="42"/>
      <c r="J443" s="43"/>
      <c r="K443" s="43"/>
      <c r="L443" s="44"/>
      <c r="M443" s="41"/>
      <c r="N443" s="43"/>
      <c r="O443" s="43"/>
      <c r="P443" s="43"/>
      <c r="Q443" s="43"/>
      <c r="R443" s="43"/>
      <c r="S443" s="43"/>
      <c r="T443" s="43"/>
      <c r="U443" s="43"/>
    </row>
    <row r="444" spans="1:21" ht="21" customHeight="1" x14ac:dyDescent="0.2">
      <c r="A444" s="40"/>
      <c r="B444" s="40"/>
      <c r="C444" s="40"/>
      <c r="D444" s="40"/>
      <c r="E444" s="40"/>
      <c r="F444" s="40"/>
      <c r="G444" s="41"/>
      <c r="H444" s="42"/>
      <c r="I444" s="42"/>
      <c r="J444" s="43"/>
      <c r="K444" s="43"/>
      <c r="L444" s="44"/>
      <c r="M444" s="41"/>
      <c r="N444" s="43"/>
      <c r="O444" s="43"/>
      <c r="P444" s="43"/>
      <c r="Q444" s="43"/>
      <c r="R444" s="43"/>
      <c r="S444" s="43"/>
      <c r="T444" s="43"/>
      <c r="U444" s="43"/>
    </row>
    <row r="445" spans="1:21" ht="21" customHeight="1" x14ac:dyDescent="0.2">
      <c r="A445" s="40"/>
      <c r="B445" s="40"/>
      <c r="C445" s="40"/>
      <c r="D445" s="40"/>
      <c r="E445" s="40"/>
      <c r="F445" s="40"/>
      <c r="G445" s="41"/>
      <c r="H445" s="42"/>
      <c r="I445" s="42"/>
      <c r="J445" s="43"/>
      <c r="K445" s="43"/>
      <c r="L445" s="44"/>
      <c r="M445" s="41"/>
      <c r="N445" s="43"/>
      <c r="O445" s="43"/>
      <c r="P445" s="43"/>
      <c r="Q445" s="43"/>
      <c r="R445" s="43"/>
      <c r="S445" s="43"/>
      <c r="T445" s="43"/>
      <c r="U445" s="43"/>
    </row>
    <row r="446" spans="1:21" ht="21" customHeight="1" x14ac:dyDescent="0.2">
      <c r="A446" s="40"/>
      <c r="B446" s="40"/>
      <c r="C446" s="40"/>
      <c r="D446" s="40"/>
      <c r="E446" s="40"/>
      <c r="F446" s="40"/>
      <c r="G446" s="41"/>
      <c r="H446" s="42"/>
      <c r="I446" s="42"/>
      <c r="J446" s="43"/>
      <c r="K446" s="43"/>
      <c r="L446" s="44"/>
      <c r="M446" s="41"/>
      <c r="N446" s="43"/>
      <c r="O446" s="43"/>
      <c r="P446" s="43"/>
      <c r="Q446" s="43"/>
      <c r="R446" s="43"/>
      <c r="S446" s="43"/>
      <c r="T446" s="43"/>
      <c r="U446" s="43"/>
    </row>
    <row r="447" spans="1:21" ht="21" customHeight="1" x14ac:dyDescent="0.2">
      <c r="A447" s="40"/>
      <c r="B447" s="40"/>
      <c r="C447" s="40"/>
      <c r="D447" s="40"/>
      <c r="E447" s="40"/>
      <c r="F447" s="40"/>
      <c r="G447" s="41"/>
      <c r="H447" s="42"/>
      <c r="I447" s="42"/>
      <c r="J447" s="43"/>
      <c r="K447" s="43"/>
      <c r="L447" s="44"/>
      <c r="M447" s="41"/>
      <c r="N447" s="43"/>
      <c r="O447" s="43"/>
      <c r="P447" s="43"/>
      <c r="Q447" s="43"/>
      <c r="R447" s="43"/>
      <c r="S447" s="43"/>
      <c r="T447" s="43"/>
      <c r="U447" s="43"/>
    </row>
    <row r="448" spans="1:21" ht="21" customHeight="1" x14ac:dyDescent="0.2">
      <c r="A448" s="40"/>
      <c r="B448" s="40"/>
      <c r="C448" s="40"/>
      <c r="D448" s="40"/>
      <c r="E448" s="40"/>
      <c r="F448" s="40"/>
      <c r="G448" s="41"/>
      <c r="H448" s="42"/>
      <c r="I448" s="42"/>
      <c r="J448" s="43"/>
      <c r="K448" s="43"/>
      <c r="L448" s="44"/>
      <c r="M448" s="41"/>
      <c r="N448" s="43"/>
      <c r="O448" s="43"/>
      <c r="P448" s="43"/>
      <c r="Q448" s="43"/>
      <c r="R448" s="43"/>
      <c r="S448" s="43"/>
      <c r="T448" s="43"/>
      <c r="U448" s="43"/>
    </row>
    <row r="449" spans="1:21" ht="21" customHeight="1" x14ac:dyDescent="0.2">
      <c r="A449" s="40"/>
      <c r="B449" s="40"/>
      <c r="C449" s="40"/>
      <c r="D449" s="40"/>
      <c r="E449" s="40"/>
      <c r="F449" s="40"/>
      <c r="G449" s="41"/>
      <c r="H449" s="42"/>
      <c r="I449" s="42"/>
      <c r="J449" s="43"/>
      <c r="K449" s="43"/>
      <c r="L449" s="44"/>
      <c r="M449" s="41"/>
      <c r="N449" s="43"/>
      <c r="O449" s="43"/>
      <c r="P449" s="43"/>
      <c r="Q449" s="43"/>
      <c r="R449" s="43"/>
      <c r="S449" s="43"/>
      <c r="T449" s="43"/>
      <c r="U449" s="43"/>
    </row>
    <row r="450" spans="1:21" ht="21" customHeight="1" x14ac:dyDescent="0.2">
      <c r="A450" s="40"/>
      <c r="B450" s="40"/>
      <c r="C450" s="40"/>
      <c r="D450" s="40"/>
      <c r="E450" s="40"/>
      <c r="F450" s="40"/>
      <c r="G450" s="41"/>
      <c r="H450" s="42"/>
      <c r="I450" s="42"/>
      <c r="J450" s="43"/>
      <c r="K450" s="43"/>
      <c r="L450" s="44"/>
      <c r="M450" s="41"/>
      <c r="N450" s="43"/>
      <c r="O450" s="43"/>
      <c r="P450" s="43"/>
      <c r="Q450" s="43"/>
      <c r="R450" s="43"/>
      <c r="S450" s="43"/>
      <c r="T450" s="43"/>
      <c r="U450" s="43"/>
    </row>
    <row r="451" spans="1:21" ht="21" customHeight="1" x14ac:dyDescent="0.2">
      <c r="A451" s="40"/>
      <c r="B451" s="40"/>
      <c r="C451" s="40"/>
      <c r="D451" s="40"/>
      <c r="E451" s="40"/>
      <c r="F451" s="40"/>
      <c r="G451" s="41"/>
      <c r="H451" s="42"/>
      <c r="I451" s="42"/>
      <c r="J451" s="43"/>
      <c r="K451" s="43"/>
      <c r="L451" s="44"/>
      <c r="M451" s="41"/>
      <c r="N451" s="43"/>
      <c r="O451" s="43"/>
      <c r="P451" s="43"/>
      <c r="Q451" s="43"/>
      <c r="R451" s="43"/>
      <c r="S451" s="43"/>
      <c r="T451" s="43"/>
      <c r="U451" s="43"/>
    </row>
    <row r="452" spans="1:21" ht="21" customHeight="1" x14ac:dyDescent="0.2">
      <c r="A452" s="40"/>
      <c r="B452" s="40"/>
      <c r="C452" s="40"/>
      <c r="D452" s="40"/>
      <c r="E452" s="40"/>
      <c r="F452" s="40"/>
      <c r="G452" s="41"/>
      <c r="H452" s="42"/>
      <c r="I452" s="42"/>
      <c r="J452" s="43"/>
      <c r="K452" s="43"/>
      <c r="L452" s="44"/>
      <c r="M452" s="41"/>
      <c r="N452" s="43"/>
      <c r="O452" s="43"/>
      <c r="P452" s="43"/>
      <c r="Q452" s="43"/>
      <c r="R452" s="43"/>
      <c r="S452" s="43"/>
      <c r="T452" s="43"/>
      <c r="U452" s="43"/>
    </row>
    <row r="453" spans="1:21" ht="21" customHeight="1" x14ac:dyDescent="0.2">
      <c r="A453" s="40"/>
      <c r="B453" s="40"/>
      <c r="C453" s="40"/>
      <c r="D453" s="40"/>
      <c r="E453" s="40"/>
      <c r="F453" s="40"/>
      <c r="G453" s="41"/>
      <c r="H453" s="42"/>
      <c r="I453" s="42"/>
      <c r="J453" s="43"/>
      <c r="K453" s="43"/>
      <c r="L453" s="44"/>
      <c r="M453" s="41"/>
      <c r="N453" s="43"/>
      <c r="O453" s="43"/>
      <c r="P453" s="43"/>
      <c r="Q453" s="43"/>
      <c r="R453" s="43"/>
      <c r="S453" s="43"/>
      <c r="T453" s="43"/>
      <c r="U453" s="43"/>
    </row>
    <row r="454" spans="1:21" ht="21" customHeight="1" x14ac:dyDescent="0.2">
      <c r="A454" s="40"/>
      <c r="B454" s="40"/>
      <c r="C454" s="40"/>
      <c r="D454" s="40"/>
      <c r="E454" s="40"/>
      <c r="F454" s="40"/>
      <c r="G454" s="41"/>
      <c r="H454" s="42"/>
      <c r="I454" s="42"/>
      <c r="J454" s="43"/>
      <c r="K454" s="43"/>
      <c r="L454" s="44"/>
      <c r="M454" s="41"/>
      <c r="N454" s="43"/>
      <c r="O454" s="43"/>
      <c r="P454" s="43"/>
      <c r="Q454" s="43"/>
      <c r="R454" s="43"/>
      <c r="S454" s="43"/>
      <c r="T454" s="43"/>
      <c r="U454" s="43"/>
    </row>
    <row r="455" spans="1:21" ht="21" customHeight="1" x14ac:dyDescent="0.2">
      <c r="A455" s="40"/>
      <c r="B455" s="40"/>
      <c r="C455" s="40"/>
      <c r="D455" s="40"/>
      <c r="E455" s="40"/>
      <c r="F455" s="40"/>
      <c r="G455" s="41"/>
      <c r="H455" s="42"/>
      <c r="I455" s="42"/>
      <c r="J455" s="43"/>
      <c r="K455" s="43"/>
      <c r="L455" s="44"/>
      <c r="M455" s="41"/>
      <c r="N455" s="43"/>
      <c r="O455" s="43"/>
      <c r="P455" s="43"/>
      <c r="Q455" s="43"/>
      <c r="R455" s="43"/>
      <c r="S455" s="43"/>
      <c r="T455" s="43"/>
      <c r="U455" s="43"/>
    </row>
    <row r="456" spans="1:21" ht="21" customHeight="1" x14ac:dyDescent="0.2">
      <c r="A456" s="40"/>
      <c r="B456" s="40"/>
      <c r="C456" s="40"/>
      <c r="D456" s="40"/>
      <c r="E456" s="40"/>
      <c r="F456" s="40"/>
      <c r="G456" s="41"/>
      <c r="H456" s="42"/>
      <c r="I456" s="42"/>
      <c r="J456" s="43"/>
      <c r="K456" s="43"/>
      <c r="L456" s="44"/>
      <c r="M456" s="41"/>
      <c r="N456" s="43"/>
      <c r="O456" s="43"/>
      <c r="P456" s="43"/>
      <c r="Q456" s="43"/>
      <c r="R456" s="43"/>
      <c r="S456" s="43"/>
      <c r="T456" s="43"/>
      <c r="U456" s="43"/>
    </row>
    <row r="457" spans="1:21" ht="21" customHeight="1" x14ac:dyDescent="0.2">
      <c r="A457" s="40"/>
      <c r="B457" s="40"/>
      <c r="C457" s="40"/>
      <c r="D457" s="40"/>
      <c r="E457" s="40"/>
      <c r="F457" s="40"/>
      <c r="G457" s="41"/>
      <c r="H457" s="42"/>
      <c r="I457" s="42"/>
      <c r="J457" s="43"/>
      <c r="K457" s="43"/>
      <c r="L457" s="44"/>
      <c r="M457" s="41"/>
      <c r="N457" s="43"/>
      <c r="O457" s="43"/>
      <c r="P457" s="43"/>
      <c r="Q457" s="43"/>
      <c r="R457" s="43"/>
      <c r="S457" s="43"/>
      <c r="T457" s="43"/>
      <c r="U457" s="43"/>
    </row>
    <row r="458" spans="1:21" ht="21" customHeight="1" x14ac:dyDescent="0.2">
      <c r="A458" s="40"/>
      <c r="B458" s="40"/>
      <c r="C458" s="40"/>
      <c r="D458" s="40"/>
      <c r="E458" s="40"/>
      <c r="F458" s="40"/>
      <c r="G458" s="41"/>
      <c r="H458" s="42"/>
      <c r="I458" s="42"/>
      <c r="J458" s="43"/>
      <c r="K458" s="43"/>
      <c r="L458" s="44"/>
      <c r="M458" s="41"/>
      <c r="N458" s="43"/>
      <c r="O458" s="43"/>
      <c r="P458" s="43"/>
      <c r="Q458" s="43"/>
      <c r="R458" s="43"/>
      <c r="S458" s="43"/>
      <c r="T458" s="43"/>
      <c r="U458" s="43"/>
    </row>
    <row r="459" spans="1:21" ht="21" customHeight="1" x14ac:dyDescent="0.2">
      <c r="A459" s="40"/>
      <c r="B459" s="40"/>
      <c r="C459" s="40"/>
      <c r="D459" s="40"/>
      <c r="E459" s="40"/>
      <c r="F459" s="40"/>
      <c r="G459" s="41"/>
      <c r="H459" s="42"/>
      <c r="I459" s="42"/>
      <c r="J459" s="43"/>
      <c r="K459" s="43"/>
      <c r="L459" s="44"/>
      <c r="M459" s="41"/>
      <c r="N459" s="43"/>
      <c r="O459" s="43"/>
      <c r="P459" s="43"/>
      <c r="Q459" s="43"/>
      <c r="R459" s="43"/>
      <c r="S459" s="43"/>
      <c r="T459" s="43"/>
      <c r="U459" s="43"/>
    </row>
    <row r="460" spans="1:21" ht="21" customHeight="1" x14ac:dyDescent="0.2">
      <c r="A460" s="40"/>
      <c r="B460" s="40"/>
      <c r="C460" s="40"/>
      <c r="D460" s="40"/>
      <c r="E460" s="40"/>
      <c r="F460" s="40"/>
      <c r="G460" s="41"/>
      <c r="H460" s="42"/>
      <c r="I460" s="42"/>
      <c r="J460" s="43"/>
      <c r="K460" s="43"/>
      <c r="L460" s="44"/>
      <c r="M460" s="41"/>
      <c r="N460" s="43"/>
      <c r="O460" s="43"/>
      <c r="P460" s="43"/>
      <c r="Q460" s="43"/>
      <c r="R460" s="43"/>
      <c r="S460" s="43"/>
      <c r="T460" s="43"/>
      <c r="U460" s="43"/>
    </row>
    <row r="461" spans="1:21" ht="21" customHeight="1" x14ac:dyDescent="0.2">
      <c r="A461" s="40"/>
      <c r="B461" s="40"/>
      <c r="C461" s="40"/>
      <c r="D461" s="40"/>
      <c r="E461" s="40"/>
      <c r="F461" s="40"/>
      <c r="G461" s="41"/>
      <c r="H461" s="42"/>
      <c r="I461" s="42"/>
      <c r="J461" s="43"/>
      <c r="K461" s="43"/>
      <c r="L461" s="44"/>
      <c r="M461" s="41"/>
      <c r="N461" s="43"/>
      <c r="O461" s="43"/>
      <c r="P461" s="43"/>
      <c r="Q461" s="43"/>
      <c r="R461" s="43"/>
      <c r="S461" s="43"/>
      <c r="T461" s="43"/>
      <c r="U461" s="43"/>
    </row>
    <row r="462" spans="1:21" ht="21" customHeight="1" x14ac:dyDescent="0.2">
      <c r="A462" s="40"/>
      <c r="B462" s="40"/>
      <c r="C462" s="40"/>
      <c r="D462" s="40"/>
      <c r="E462" s="40"/>
      <c r="F462" s="40"/>
      <c r="G462" s="41"/>
      <c r="H462" s="42"/>
      <c r="I462" s="42"/>
      <c r="J462" s="43"/>
      <c r="K462" s="43"/>
      <c r="L462" s="44"/>
      <c r="M462" s="41"/>
      <c r="N462" s="43"/>
      <c r="O462" s="43"/>
      <c r="P462" s="43"/>
      <c r="Q462" s="43"/>
      <c r="R462" s="43"/>
      <c r="S462" s="43"/>
      <c r="T462" s="43"/>
      <c r="U462" s="43"/>
    </row>
    <row r="463" spans="1:21" ht="21" customHeight="1" x14ac:dyDescent="0.2">
      <c r="A463" s="40"/>
      <c r="B463" s="40"/>
      <c r="C463" s="40"/>
      <c r="D463" s="40"/>
      <c r="E463" s="40"/>
      <c r="F463" s="40"/>
      <c r="G463" s="41"/>
      <c r="H463" s="42"/>
      <c r="I463" s="42"/>
      <c r="J463" s="43"/>
      <c r="K463" s="43"/>
      <c r="L463" s="44"/>
      <c r="M463" s="41"/>
      <c r="N463" s="43"/>
      <c r="O463" s="43"/>
      <c r="P463" s="43"/>
      <c r="Q463" s="43"/>
      <c r="R463" s="43"/>
      <c r="S463" s="43"/>
      <c r="T463" s="43"/>
      <c r="U463" s="43"/>
    </row>
    <row r="464" spans="1:21" ht="21" customHeight="1" x14ac:dyDescent="0.2">
      <c r="A464" s="40"/>
      <c r="B464" s="40"/>
      <c r="C464" s="40"/>
      <c r="D464" s="40"/>
      <c r="E464" s="40"/>
      <c r="F464" s="40"/>
      <c r="G464" s="41"/>
      <c r="H464" s="42"/>
      <c r="I464" s="42"/>
      <c r="J464" s="43"/>
      <c r="K464" s="43"/>
      <c r="L464" s="44"/>
      <c r="M464" s="41"/>
      <c r="N464" s="43"/>
      <c r="O464" s="43"/>
      <c r="P464" s="43"/>
      <c r="Q464" s="43"/>
      <c r="R464" s="43"/>
      <c r="S464" s="43"/>
      <c r="T464" s="43"/>
      <c r="U464" s="43"/>
    </row>
    <row r="465" spans="1:21" ht="21" customHeight="1" x14ac:dyDescent="0.2">
      <c r="A465" s="40"/>
      <c r="B465" s="40"/>
      <c r="C465" s="40"/>
      <c r="D465" s="40"/>
      <c r="E465" s="40"/>
      <c r="F465" s="40"/>
      <c r="G465" s="41"/>
      <c r="H465" s="42"/>
      <c r="I465" s="42"/>
      <c r="J465" s="43"/>
      <c r="K465" s="43"/>
      <c r="L465" s="44"/>
      <c r="M465" s="41"/>
      <c r="N465" s="43"/>
      <c r="O465" s="43"/>
      <c r="P465" s="43"/>
      <c r="Q465" s="43"/>
      <c r="R465" s="43"/>
      <c r="S465" s="43"/>
      <c r="T465" s="43"/>
      <c r="U465" s="43"/>
    </row>
    <row r="466" spans="1:21" ht="21" customHeight="1" x14ac:dyDescent="0.2">
      <c r="A466" s="40"/>
      <c r="B466" s="40"/>
      <c r="C466" s="40"/>
      <c r="D466" s="40"/>
      <c r="E466" s="40"/>
      <c r="F466" s="40"/>
      <c r="G466" s="41"/>
      <c r="H466" s="42"/>
      <c r="I466" s="42"/>
      <c r="J466" s="43"/>
      <c r="K466" s="43"/>
      <c r="L466" s="44"/>
      <c r="M466" s="41"/>
      <c r="N466" s="43"/>
      <c r="O466" s="43"/>
      <c r="P466" s="43"/>
      <c r="Q466" s="43"/>
      <c r="R466" s="43"/>
      <c r="S466" s="43"/>
      <c r="T466" s="43"/>
      <c r="U466" s="43"/>
    </row>
    <row r="467" spans="1:21" ht="21" customHeight="1" x14ac:dyDescent="0.2">
      <c r="A467" s="40"/>
      <c r="B467" s="40"/>
      <c r="C467" s="40"/>
      <c r="D467" s="40"/>
      <c r="E467" s="40"/>
      <c r="F467" s="40"/>
      <c r="G467" s="41"/>
      <c r="H467" s="42"/>
      <c r="I467" s="42"/>
      <c r="J467" s="43"/>
      <c r="K467" s="43"/>
      <c r="L467" s="44"/>
      <c r="M467" s="41"/>
      <c r="N467" s="43"/>
      <c r="O467" s="43"/>
      <c r="P467" s="43"/>
      <c r="Q467" s="43"/>
      <c r="R467" s="43"/>
      <c r="S467" s="43"/>
      <c r="T467" s="43"/>
      <c r="U467" s="43"/>
    </row>
    <row r="468" spans="1:21" ht="21" customHeight="1" x14ac:dyDescent="0.2">
      <c r="A468" s="40"/>
      <c r="B468" s="40"/>
      <c r="C468" s="40"/>
      <c r="D468" s="40"/>
      <c r="E468" s="40"/>
      <c r="F468" s="40"/>
      <c r="G468" s="41"/>
      <c r="H468" s="42"/>
      <c r="I468" s="42"/>
      <c r="J468" s="43"/>
      <c r="K468" s="43"/>
      <c r="L468" s="44"/>
      <c r="M468" s="41"/>
      <c r="N468" s="43"/>
      <c r="O468" s="43"/>
      <c r="P468" s="43"/>
      <c r="Q468" s="43"/>
      <c r="R468" s="43"/>
      <c r="S468" s="43"/>
      <c r="T468" s="43"/>
      <c r="U468" s="43"/>
    </row>
    <row r="469" spans="1:21" ht="21" customHeight="1" x14ac:dyDescent="0.2">
      <c r="A469" s="40"/>
      <c r="B469" s="40"/>
      <c r="C469" s="40"/>
      <c r="D469" s="40"/>
      <c r="E469" s="40"/>
      <c r="F469" s="40"/>
      <c r="G469" s="41"/>
      <c r="H469" s="42"/>
      <c r="I469" s="42"/>
      <c r="J469" s="43"/>
      <c r="K469" s="43"/>
      <c r="L469" s="44"/>
      <c r="M469" s="41"/>
      <c r="N469" s="43"/>
      <c r="O469" s="43"/>
      <c r="P469" s="43"/>
      <c r="Q469" s="43"/>
      <c r="R469" s="43"/>
      <c r="S469" s="43"/>
      <c r="T469" s="43"/>
      <c r="U469" s="43"/>
    </row>
    <row r="470" spans="1:21" ht="21" customHeight="1" x14ac:dyDescent="0.2">
      <c r="A470" s="40"/>
      <c r="B470" s="40"/>
      <c r="C470" s="40"/>
      <c r="D470" s="40"/>
      <c r="E470" s="40"/>
      <c r="F470" s="40"/>
      <c r="G470" s="41"/>
      <c r="H470" s="42"/>
      <c r="I470" s="42"/>
      <c r="J470" s="43"/>
      <c r="K470" s="43"/>
      <c r="L470" s="44"/>
      <c r="M470" s="41"/>
      <c r="N470" s="43"/>
      <c r="O470" s="43"/>
      <c r="P470" s="43"/>
      <c r="Q470" s="43"/>
      <c r="R470" s="43"/>
      <c r="S470" s="43"/>
      <c r="T470" s="43"/>
      <c r="U470" s="43"/>
    </row>
    <row r="471" spans="1:21" ht="21" customHeight="1" x14ac:dyDescent="0.2">
      <c r="A471" s="40"/>
      <c r="B471" s="40"/>
      <c r="C471" s="40"/>
      <c r="D471" s="40"/>
      <c r="E471" s="40"/>
      <c r="F471" s="40"/>
      <c r="G471" s="41"/>
      <c r="H471" s="42"/>
      <c r="I471" s="42"/>
      <c r="J471" s="43"/>
      <c r="K471" s="43"/>
      <c r="L471" s="44"/>
      <c r="M471" s="41"/>
      <c r="N471" s="43"/>
      <c r="O471" s="43"/>
      <c r="P471" s="43"/>
      <c r="Q471" s="43"/>
      <c r="R471" s="43"/>
      <c r="S471" s="43"/>
      <c r="T471" s="43"/>
      <c r="U471" s="43"/>
    </row>
    <row r="472" spans="1:21" ht="21" customHeight="1" x14ac:dyDescent="0.2">
      <c r="A472" s="40"/>
      <c r="B472" s="40"/>
      <c r="C472" s="40"/>
      <c r="D472" s="40"/>
      <c r="E472" s="40"/>
      <c r="F472" s="40"/>
      <c r="G472" s="41"/>
      <c r="H472" s="42"/>
      <c r="I472" s="42"/>
      <c r="J472" s="43"/>
      <c r="K472" s="43"/>
      <c r="L472" s="44"/>
      <c r="M472" s="41"/>
      <c r="N472" s="43"/>
      <c r="O472" s="43"/>
      <c r="P472" s="43"/>
      <c r="Q472" s="43"/>
      <c r="R472" s="43"/>
      <c r="S472" s="43"/>
      <c r="T472" s="43"/>
      <c r="U472" s="43"/>
    </row>
    <row r="473" spans="1:21" ht="21" customHeight="1" x14ac:dyDescent="0.2">
      <c r="A473" s="40"/>
      <c r="B473" s="40"/>
      <c r="C473" s="40"/>
      <c r="D473" s="40"/>
      <c r="E473" s="40"/>
      <c r="F473" s="40"/>
      <c r="G473" s="41"/>
      <c r="H473" s="42"/>
      <c r="I473" s="42"/>
      <c r="J473" s="43"/>
      <c r="K473" s="43"/>
      <c r="L473" s="44"/>
      <c r="M473" s="41"/>
      <c r="N473" s="43"/>
      <c r="O473" s="43"/>
      <c r="P473" s="43"/>
      <c r="Q473" s="43"/>
      <c r="R473" s="43"/>
      <c r="S473" s="43"/>
      <c r="T473" s="43"/>
      <c r="U473" s="43"/>
    </row>
    <row r="474" spans="1:21" ht="21" customHeight="1" x14ac:dyDescent="0.2">
      <c r="A474" s="40"/>
      <c r="B474" s="40"/>
      <c r="C474" s="40"/>
      <c r="D474" s="40"/>
      <c r="E474" s="40"/>
      <c r="F474" s="40"/>
      <c r="G474" s="41"/>
      <c r="H474" s="42"/>
      <c r="I474" s="42"/>
      <c r="J474" s="43"/>
      <c r="K474" s="43"/>
      <c r="L474" s="44"/>
      <c r="M474" s="41"/>
      <c r="N474" s="43"/>
      <c r="O474" s="43"/>
      <c r="P474" s="43"/>
      <c r="Q474" s="43"/>
      <c r="R474" s="43"/>
      <c r="S474" s="43"/>
      <c r="T474" s="43"/>
      <c r="U474" s="43"/>
    </row>
    <row r="475" spans="1:21" ht="21" customHeight="1" x14ac:dyDescent="0.2">
      <c r="A475" s="40"/>
      <c r="B475" s="40"/>
      <c r="C475" s="40"/>
      <c r="D475" s="40"/>
      <c r="E475" s="40"/>
      <c r="F475" s="40"/>
      <c r="G475" s="41"/>
      <c r="H475" s="42"/>
      <c r="I475" s="42"/>
      <c r="J475" s="43"/>
      <c r="K475" s="43"/>
      <c r="L475" s="44"/>
      <c r="M475" s="41"/>
      <c r="N475" s="43"/>
      <c r="O475" s="43"/>
      <c r="P475" s="43"/>
      <c r="Q475" s="43"/>
      <c r="R475" s="43"/>
      <c r="S475" s="43"/>
      <c r="T475" s="43"/>
      <c r="U475" s="43"/>
    </row>
    <row r="476" spans="1:21" ht="21" customHeight="1" x14ac:dyDescent="0.2">
      <c r="A476" s="40"/>
      <c r="B476" s="40"/>
      <c r="C476" s="40"/>
      <c r="D476" s="40"/>
      <c r="E476" s="40"/>
      <c r="F476" s="40"/>
      <c r="G476" s="41"/>
      <c r="H476" s="42"/>
      <c r="I476" s="42"/>
      <c r="J476" s="43"/>
      <c r="K476" s="43"/>
      <c r="L476" s="44"/>
      <c r="M476" s="41"/>
      <c r="N476" s="43"/>
      <c r="O476" s="43"/>
      <c r="P476" s="43"/>
      <c r="Q476" s="43"/>
      <c r="R476" s="43"/>
      <c r="S476" s="43"/>
      <c r="T476" s="43"/>
      <c r="U476" s="43"/>
    </row>
    <row r="477" spans="1:21" ht="21" customHeight="1" x14ac:dyDescent="0.2">
      <c r="A477" s="40"/>
      <c r="B477" s="40"/>
      <c r="C477" s="40"/>
      <c r="D477" s="40"/>
      <c r="E477" s="40"/>
      <c r="F477" s="40"/>
      <c r="G477" s="41"/>
      <c r="H477" s="42"/>
      <c r="I477" s="42"/>
      <c r="J477" s="43"/>
      <c r="K477" s="43"/>
      <c r="L477" s="44"/>
      <c r="M477" s="41"/>
      <c r="N477" s="43"/>
      <c r="O477" s="43"/>
      <c r="P477" s="43"/>
      <c r="Q477" s="43"/>
      <c r="R477" s="43"/>
      <c r="S477" s="43"/>
      <c r="T477" s="43"/>
      <c r="U477" s="43"/>
    </row>
    <row r="478" spans="1:21" ht="21" customHeight="1" x14ac:dyDescent="0.2">
      <c r="A478" s="40"/>
      <c r="B478" s="40"/>
      <c r="C478" s="40"/>
      <c r="D478" s="40"/>
      <c r="E478" s="40"/>
      <c r="F478" s="40"/>
      <c r="G478" s="41"/>
      <c r="H478" s="42"/>
      <c r="I478" s="42"/>
      <c r="J478" s="43"/>
      <c r="K478" s="43"/>
      <c r="L478" s="44"/>
      <c r="M478" s="41"/>
      <c r="N478" s="43"/>
      <c r="O478" s="43"/>
      <c r="P478" s="43"/>
      <c r="Q478" s="43"/>
      <c r="R478" s="43"/>
      <c r="S478" s="43"/>
      <c r="T478" s="43"/>
      <c r="U478" s="43"/>
    </row>
    <row r="479" spans="1:21" ht="21" customHeight="1" x14ac:dyDescent="0.2">
      <c r="A479" s="40"/>
      <c r="B479" s="40"/>
      <c r="C479" s="40"/>
      <c r="D479" s="40"/>
      <c r="E479" s="40"/>
      <c r="F479" s="40"/>
      <c r="G479" s="41"/>
      <c r="H479" s="42"/>
      <c r="I479" s="42"/>
      <c r="J479" s="43"/>
      <c r="K479" s="43"/>
      <c r="L479" s="44"/>
      <c r="M479" s="41"/>
      <c r="N479" s="43"/>
      <c r="O479" s="43"/>
      <c r="P479" s="43"/>
      <c r="Q479" s="43"/>
      <c r="R479" s="43"/>
      <c r="S479" s="43"/>
      <c r="T479" s="43"/>
      <c r="U479" s="43"/>
    </row>
    <row r="480" spans="1:21" ht="21" customHeight="1" x14ac:dyDescent="0.2">
      <c r="A480" s="40"/>
      <c r="B480" s="40"/>
      <c r="C480" s="40"/>
      <c r="D480" s="40"/>
      <c r="E480" s="40"/>
      <c r="F480" s="40"/>
      <c r="G480" s="41"/>
      <c r="H480" s="42"/>
      <c r="I480" s="42"/>
      <c r="J480" s="43"/>
      <c r="K480" s="43"/>
      <c r="L480" s="44"/>
      <c r="M480" s="41"/>
      <c r="N480" s="43"/>
      <c r="O480" s="43"/>
      <c r="P480" s="43"/>
      <c r="Q480" s="43"/>
      <c r="R480" s="43"/>
      <c r="S480" s="43"/>
      <c r="T480" s="43"/>
      <c r="U480" s="43"/>
    </row>
    <row r="481" spans="1:21" ht="21" customHeight="1" x14ac:dyDescent="0.2">
      <c r="A481" s="40"/>
      <c r="B481" s="40"/>
      <c r="C481" s="40"/>
      <c r="D481" s="40"/>
      <c r="E481" s="40"/>
      <c r="F481" s="40"/>
      <c r="G481" s="41"/>
      <c r="H481" s="42"/>
      <c r="I481" s="42"/>
      <c r="J481" s="43"/>
      <c r="K481" s="43"/>
      <c r="L481" s="44"/>
      <c r="M481" s="41"/>
      <c r="N481" s="43"/>
      <c r="O481" s="43"/>
      <c r="P481" s="43"/>
      <c r="Q481" s="43"/>
      <c r="R481" s="43"/>
      <c r="S481" s="43"/>
      <c r="T481" s="43"/>
      <c r="U481" s="43"/>
    </row>
    <row r="482" spans="1:21" ht="21" customHeight="1" x14ac:dyDescent="0.2">
      <c r="A482" s="40"/>
      <c r="B482" s="40"/>
      <c r="C482" s="40"/>
      <c r="D482" s="40"/>
      <c r="E482" s="40"/>
      <c r="F482" s="40"/>
      <c r="G482" s="41"/>
      <c r="H482" s="42"/>
      <c r="I482" s="42"/>
      <c r="J482" s="43"/>
      <c r="K482" s="43"/>
      <c r="L482" s="44"/>
      <c r="M482" s="41"/>
      <c r="N482" s="43"/>
      <c r="O482" s="43"/>
      <c r="P482" s="43"/>
      <c r="Q482" s="43"/>
      <c r="R482" s="43"/>
      <c r="S482" s="43"/>
      <c r="T482" s="43"/>
      <c r="U482" s="43"/>
    </row>
    <row r="483" spans="1:21" ht="21" customHeight="1" x14ac:dyDescent="0.2">
      <c r="A483" s="40"/>
      <c r="B483" s="40"/>
      <c r="C483" s="40"/>
      <c r="D483" s="40"/>
      <c r="E483" s="40"/>
      <c r="F483" s="40"/>
      <c r="G483" s="41"/>
      <c r="H483" s="42"/>
      <c r="I483" s="42"/>
      <c r="J483" s="43"/>
      <c r="K483" s="43"/>
      <c r="L483" s="44"/>
      <c r="M483" s="41"/>
      <c r="N483" s="43"/>
      <c r="O483" s="43"/>
      <c r="P483" s="43"/>
      <c r="Q483" s="43"/>
      <c r="R483" s="43"/>
      <c r="S483" s="43"/>
      <c r="T483" s="43"/>
      <c r="U483" s="43"/>
    </row>
    <row r="484" spans="1:21" ht="21" customHeight="1" x14ac:dyDescent="0.2">
      <c r="A484" s="40"/>
      <c r="B484" s="40"/>
      <c r="C484" s="40"/>
      <c r="D484" s="40"/>
      <c r="E484" s="40"/>
      <c r="F484" s="40"/>
      <c r="G484" s="41"/>
      <c r="H484" s="42"/>
      <c r="I484" s="42"/>
      <c r="J484" s="43"/>
      <c r="K484" s="43"/>
      <c r="L484" s="44"/>
      <c r="M484" s="41"/>
      <c r="N484" s="43"/>
      <c r="O484" s="43"/>
      <c r="P484" s="43"/>
      <c r="Q484" s="43"/>
      <c r="R484" s="43"/>
      <c r="S484" s="43"/>
      <c r="T484" s="43"/>
      <c r="U484" s="43"/>
    </row>
    <row r="485" spans="1:21" ht="21" customHeight="1" x14ac:dyDescent="0.2">
      <c r="A485" s="40"/>
      <c r="B485" s="40"/>
      <c r="C485" s="40"/>
      <c r="D485" s="40"/>
      <c r="E485" s="40"/>
      <c r="F485" s="40"/>
      <c r="G485" s="41"/>
      <c r="H485" s="42"/>
      <c r="I485" s="42"/>
      <c r="J485" s="43"/>
      <c r="K485" s="43"/>
      <c r="L485" s="44"/>
      <c r="M485" s="41"/>
      <c r="N485" s="43"/>
      <c r="O485" s="43"/>
      <c r="P485" s="43"/>
      <c r="Q485" s="43"/>
      <c r="R485" s="43"/>
      <c r="S485" s="43"/>
      <c r="T485" s="43"/>
      <c r="U485" s="43"/>
    </row>
    <row r="486" spans="1:21" ht="21" customHeight="1" x14ac:dyDescent="0.2">
      <c r="A486" s="40"/>
      <c r="B486" s="40"/>
      <c r="C486" s="40"/>
      <c r="D486" s="40"/>
      <c r="E486" s="40"/>
      <c r="F486" s="40"/>
      <c r="G486" s="41"/>
      <c r="H486" s="42"/>
      <c r="I486" s="42"/>
      <c r="J486" s="43"/>
      <c r="K486" s="43"/>
      <c r="L486" s="44"/>
      <c r="M486" s="41"/>
      <c r="N486" s="43"/>
      <c r="O486" s="43"/>
      <c r="P486" s="43"/>
      <c r="Q486" s="43"/>
      <c r="R486" s="43"/>
      <c r="S486" s="43"/>
      <c r="T486" s="43"/>
      <c r="U486" s="43"/>
    </row>
    <row r="487" spans="1:21" ht="21" customHeight="1" x14ac:dyDescent="0.2">
      <c r="A487" s="40"/>
      <c r="B487" s="40"/>
      <c r="C487" s="40"/>
      <c r="D487" s="40"/>
      <c r="E487" s="40"/>
      <c r="F487" s="40"/>
      <c r="G487" s="41"/>
      <c r="H487" s="42"/>
      <c r="I487" s="42"/>
      <c r="J487" s="43"/>
      <c r="K487" s="43"/>
      <c r="L487" s="44"/>
      <c r="M487" s="41"/>
      <c r="N487" s="43"/>
      <c r="O487" s="43"/>
      <c r="P487" s="43"/>
      <c r="Q487" s="43"/>
      <c r="R487" s="43"/>
      <c r="S487" s="43"/>
      <c r="T487" s="43"/>
      <c r="U487" s="43"/>
    </row>
    <row r="488" spans="1:21" ht="21" customHeight="1" x14ac:dyDescent="0.2">
      <c r="A488" s="40"/>
      <c r="B488" s="40"/>
      <c r="C488" s="40"/>
      <c r="D488" s="40"/>
      <c r="E488" s="40"/>
      <c r="F488" s="40"/>
      <c r="G488" s="41"/>
      <c r="H488" s="42"/>
      <c r="I488" s="42"/>
      <c r="J488" s="43"/>
      <c r="K488" s="43"/>
      <c r="L488" s="44"/>
      <c r="M488" s="41"/>
      <c r="N488" s="43"/>
      <c r="O488" s="43"/>
      <c r="P488" s="43"/>
      <c r="Q488" s="43"/>
      <c r="R488" s="43"/>
      <c r="S488" s="43"/>
      <c r="T488" s="43"/>
      <c r="U488" s="43"/>
    </row>
    <row r="489" spans="1:21" ht="21" customHeight="1" x14ac:dyDescent="0.2">
      <c r="A489" s="40"/>
      <c r="B489" s="40"/>
      <c r="C489" s="40"/>
      <c r="D489" s="40"/>
      <c r="E489" s="40"/>
      <c r="F489" s="40"/>
      <c r="G489" s="41"/>
      <c r="H489" s="42"/>
      <c r="I489" s="42"/>
      <c r="J489" s="43"/>
      <c r="K489" s="43"/>
      <c r="L489" s="44"/>
      <c r="M489" s="41"/>
      <c r="N489" s="43"/>
      <c r="O489" s="43"/>
      <c r="P489" s="43"/>
      <c r="Q489" s="43"/>
      <c r="R489" s="43"/>
      <c r="S489" s="43"/>
      <c r="T489" s="43"/>
      <c r="U489" s="43"/>
    </row>
    <row r="490" spans="1:21" ht="21" customHeight="1" x14ac:dyDescent="0.2">
      <c r="A490" s="40"/>
      <c r="B490" s="40"/>
      <c r="C490" s="40"/>
      <c r="D490" s="40"/>
      <c r="E490" s="40"/>
      <c r="F490" s="40"/>
      <c r="G490" s="41"/>
      <c r="H490" s="42"/>
      <c r="I490" s="42"/>
      <c r="J490" s="43"/>
      <c r="K490" s="43"/>
      <c r="L490" s="44"/>
      <c r="M490" s="41"/>
      <c r="N490" s="43"/>
      <c r="O490" s="43"/>
      <c r="P490" s="43"/>
      <c r="Q490" s="43"/>
      <c r="R490" s="43"/>
      <c r="S490" s="43"/>
      <c r="T490" s="43"/>
      <c r="U490" s="43"/>
    </row>
    <row r="491" spans="1:21" ht="21" customHeight="1" x14ac:dyDescent="0.2">
      <c r="A491" s="40"/>
      <c r="B491" s="40"/>
      <c r="C491" s="40"/>
      <c r="D491" s="40"/>
      <c r="E491" s="40"/>
      <c r="F491" s="40"/>
      <c r="G491" s="41"/>
      <c r="H491" s="42"/>
      <c r="I491" s="42"/>
      <c r="J491" s="43"/>
      <c r="K491" s="43"/>
      <c r="L491" s="44"/>
      <c r="M491" s="41"/>
      <c r="N491" s="43"/>
      <c r="O491" s="43"/>
      <c r="P491" s="43"/>
      <c r="Q491" s="43"/>
      <c r="R491" s="43"/>
      <c r="S491" s="43"/>
      <c r="T491" s="43"/>
      <c r="U491" s="43"/>
    </row>
    <row r="492" spans="1:21" ht="21" customHeight="1" x14ac:dyDescent="0.2">
      <c r="A492" s="40"/>
      <c r="B492" s="40"/>
      <c r="C492" s="40"/>
      <c r="D492" s="40"/>
      <c r="E492" s="40"/>
      <c r="F492" s="40"/>
      <c r="G492" s="41"/>
      <c r="H492" s="42"/>
      <c r="I492" s="42"/>
      <c r="J492" s="43"/>
      <c r="K492" s="43"/>
      <c r="L492" s="44"/>
      <c r="M492" s="41"/>
      <c r="N492" s="43"/>
      <c r="O492" s="43"/>
      <c r="P492" s="43"/>
      <c r="Q492" s="43"/>
      <c r="R492" s="43"/>
      <c r="S492" s="43"/>
      <c r="T492" s="43"/>
      <c r="U492" s="43"/>
    </row>
    <row r="493" spans="1:21" ht="21" customHeight="1" x14ac:dyDescent="0.2">
      <c r="A493" s="40"/>
      <c r="B493" s="40"/>
      <c r="C493" s="40"/>
      <c r="D493" s="40"/>
      <c r="E493" s="40"/>
      <c r="F493" s="40"/>
      <c r="G493" s="41"/>
      <c r="H493" s="42"/>
      <c r="I493" s="42"/>
      <c r="J493" s="43"/>
      <c r="K493" s="43"/>
      <c r="L493" s="44"/>
      <c r="M493" s="41"/>
      <c r="N493" s="43"/>
      <c r="O493" s="43"/>
      <c r="P493" s="43"/>
      <c r="Q493" s="43"/>
      <c r="R493" s="43"/>
      <c r="S493" s="43"/>
      <c r="T493" s="43"/>
      <c r="U493" s="43"/>
    </row>
    <row r="494" spans="1:21" ht="21" customHeight="1" x14ac:dyDescent="0.2">
      <c r="A494" s="40"/>
      <c r="B494" s="40"/>
      <c r="C494" s="40"/>
      <c r="D494" s="40"/>
      <c r="E494" s="40"/>
      <c r="F494" s="40"/>
      <c r="G494" s="41"/>
      <c r="H494" s="42"/>
      <c r="I494" s="42"/>
      <c r="J494" s="43"/>
      <c r="K494" s="43"/>
      <c r="L494" s="44"/>
      <c r="M494" s="41"/>
      <c r="N494" s="43"/>
      <c r="O494" s="43"/>
      <c r="P494" s="43"/>
      <c r="Q494" s="43"/>
      <c r="R494" s="43"/>
      <c r="S494" s="43"/>
      <c r="T494" s="43"/>
      <c r="U494" s="43"/>
    </row>
    <row r="495" spans="1:21" ht="21" customHeight="1" x14ac:dyDescent="0.2">
      <c r="A495" s="40"/>
      <c r="B495" s="40"/>
      <c r="C495" s="40"/>
      <c r="D495" s="40"/>
      <c r="E495" s="40"/>
      <c r="F495" s="40"/>
      <c r="G495" s="41"/>
      <c r="H495" s="42"/>
      <c r="I495" s="42"/>
      <c r="J495" s="43"/>
      <c r="K495" s="43"/>
      <c r="L495" s="44"/>
      <c r="M495" s="41"/>
      <c r="N495" s="43"/>
      <c r="O495" s="43"/>
      <c r="P495" s="43"/>
      <c r="Q495" s="43"/>
      <c r="R495" s="43"/>
      <c r="S495" s="43"/>
      <c r="T495" s="43"/>
      <c r="U495" s="43"/>
    </row>
    <row r="496" spans="1:21" ht="21" customHeight="1" x14ac:dyDescent="0.2">
      <c r="A496" s="40"/>
      <c r="B496" s="40"/>
      <c r="C496" s="40"/>
      <c r="D496" s="40"/>
      <c r="E496" s="40"/>
      <c r="F496" s="40"/>
      <c r="G496" s="41"/>
      <c r="H496" s="42"/>
      <c r="I496" s="42"/>
      <c r="J496" s="43"/>
      <c r="K496" s="43"/>
      <c r="L496" s="44"/>
      <c r="M496" s="41"/>
      <c r="N496" s="43"/>
      <c r="O496" s="43"/>
      <c r="P496" s="43"/>
      <c r="Q496" s="43"/>
      <c r="R496" s="43"/>
      <c r="S496" s="43"/>
      <c r="T496" s="43"/>
      <c r="U496" s="43"/>
    </row>
    <row r="497" spans="1:21" ht="21" customHeight="1" x14ac:dyDescent="0.2">
      <c r="A497" s="40"/>
      <c r="B497" s="40"/>
      <c r="C497" s="40"/>
      <c r="D497" s="40"/>
      <c r="E497" s="40"/>
      <c r="F497" s="40"/>
      <c r="G497" s="41"/>
      <c r="H497" s="42"/>
      <c r="I497" s="42"/>
      <c r="J497" s="43"/>
      <c r="K497" s="43"/>
      <c r="L497" s="44"/>
      <c r="M497" s="41"/>
      <c r="N497" s="43"/>
      <c r="O497" s="43"/>
      <c r="P497" s="43"/>
      <c r="Q497" s="43"/>
      <c r="R497" s="43"/>
      <c r="S497" s="43"/>
      <c r="T497" s="43"/>
      <c r="U497" s="43"/>
    </row>
    <row r="498" spans="1:21" ht="21" customHeight="1" x14ac:dyDescent="0.2">
      <c r="A498" s="40"/>
      <c r="B498" s="40"/>
      <c r="C498" s="40"/>
      <c r="D498" s="40"/>
      <c r="E498" s="40"/>
      <c r="F498" s="40"/>
      <c r="G498" s="41"/>
      <c r="H498" s="42"/>
      <c r="I498" s="42"/>
      <c r="J498" s="43"/>
      <c r="K498" s="43"/>
      <c r="L498" s="44"/>
      <c r="M498" s="41"/>
      <c r="N498" s="43"/>
      <c r="O498" s="43"/>
      <c r="P498" s="43"/>
      <c r="Q498" s="43"/>
      <c r="R498" s="43"/>
      <c r="S498" s="43"/>
      <c r="T498" s="43"/>
      <c r="U498" s="43"/>
    </row>
    <row r="499" spans="1:21" ht="21" customHeight="1" x14ac:dyDescent="0.2">
      <c r="A499" s="40"/>
      <c r="B499" s="40"/>
      <c r="C499" s="40"/>
      <c r="D499" s="40"/>
      <c r="E499" s="40"/>
      <c r="F499" s="40"/>
      <c r="G499" s="41"/>
      <c r="H499" s="42"/>
      <c r="I499" s="42"/>
      <c r="J499" s="43"/>
      <c r="K499" s="43"/>
      <c r="L499" s="44"/>
      <c r="M499" s="41"/>
      <c r="N499" s="43"/>
      <c r="O499" s="43"/>
      <c r="P499" s="43"/>
      <c r="Q499" s="43"/>
      <c r="R499" s="43"/>
      <c r="S499" s="43"/>
      <c r="T499" s="43"/>
      <c r="U499" s="43"/>
    </row>
    <row r="500" spans="1:21" ht="21" customHeight="1" x14ac:dyDescent="0.2">
      <c r="A500" s="40"/>
      <c r="B500" s="40"/>
      <c r="C500" s="40"/>
      <c r="D500" s="40"/>
      <c r="E500" s="40"/>
      <c r="F500" s="40"/>
      <c r="G500" s="41"/>
      <c r="H500" s="42"/>
      <c r="I500" s="42"/>
      <c r="J500" s="43"/>
      <c r="K500" s="43"/>
      <c r="L500" s="44"/>
      <c r="M500" s="41"/>
      <c r="N500" s="43"/>
      <c r="O500" s="43"/>
      <c r="P500" s="43"/>
      <c r="Q500" s="43"/>
      <c r="R500" s="43"/>
      <c r="S500" s="43"/>
      <c r="T500" s="43"/>
      <c r="U500" s="43"/>
    </row>
    <row r="501" spans="1:21" ht="21" customHeight="1" x14ac:dyDescent="0.2">
      <c r="A501" s="40"/>
      <c r="B501" s="40"/>
      <c r="C501" s="40"/>
      <c r="D501" s="40"/>
      <c r="E501" s="40"/>
      <c r="F501" s="40"/>
      <c r="G501" s="41"/>
      <c r="H501" s="42"/>
      <c r="I501" s="42"/>
      <c r="J501" s="43"/>
      <c r="K501" s="43"/>
      <c r="L501" s="44"/>
      <c r="M501" s="41"/>
      <c r="N501" s="43"/>
      <c r="O501" s="43"/>
      <c r="P501" s="43"/>
      <c r="Q501" s="43"/>
      <c r="R501" s="43"/>
      <c r="S501" s="43"/>
      <c r="T501" s="43"/>
      <c r="U501" s="43"/>
    </row>
    <row r="502" spans="1:21" ht="21" customHeight="1" x14ac:dyDescent="0.2">
      <c r="A502" s="40"/>
      <c r="B502" s="40"/>
      <c r="C502" s="40"/>
      <c r="D502" s="40"/>
      <c r="E502" s="40"/>
      <c r="F502" s="40"/>
      <c r="G502" s="41"/>
      <c r="H502" s="42"/>
      <c r="I502" s="42"/>
      <c r="J502" s="43"/>
      <c r="K502" s="43"/>
      <c r="L502" s="44"/>
      <c r="M502" s="41"/>
      <c r="N502" s="43"/>
      <c r="O502" s="43"/>
      <c r="P502" s="43"/>
      <c r="Q502" s="43"/>
      <c r="R502" s="43"/>
      <c r="S502" s="43"/>
      <c r="T502" s="43"/>
      <c r="U502" s="43"/>
    </row>
    <row r="503" spans="1:21" ht="21" customHeight="1" x14ac:dyDescent="0.2">
      <c r="A503" s="40"/>
      <c r="B503" s="40"/>
      <c r="C503" s="40"/>
      <c r="D503" s="40"/>
      <c r="E503" s="40"/>
      <c r="F503" s="40"/>
      <c r="G503" s="41"/>
      <c r="H503" s="42"/>
      <c r="I503" s="42"/>
      <c r="J503" s="43"/>
      <c r="K503" s="43"/>
      <c r="L503" s="44"/>
      <c r="M503" s="41"/>
      <c r="N503" s="43"/>
      <c r="O503" s="43"/>
      <c r="P503" s="43"/>
      <c r="Q503" s="43"/>
      <c r="R503" s="43"/>
      <c r="S503" s="43"/>
      <c r="T503" s="43"/>
      <c r="U503" s="43"/>
    </row>
    <row r="504" spans="1:21" ht="21" customHeight="1" x14ac:dyDescent="0.2">
      <c r="A504" s="40"/>
      <c r="B504" s="40"/>
      <c r="C504" s="40"/>
      <c r="D504" s="40"/>
      <c r="E504" s="40"/>
      <c r="F504" s="40"/>
      <c r="G504" s="41"/>
      <c r="H504" s="42"/>
      <c r="I504" s="42"/>
      <c r="J504" s="43"/>
      <c r="K504" s="43"/>
      <c r="L504" s="44"/>
      <c r="M504" s="41"/>
      <c r="N504" s="43"/>
      <c r="O504" s="43"/>
      <c r="P504" s="43"/>
      <c r="Q504" s="43"/>
      <c r="R504" s="43"/>
      <c r="S504" s="43"/>
      <c r="T504" s="43"/>
      <c r="U504" s="43"/>
    </row>
    <row r="505" spans="1:21" ht="21" customHeight="1" x14ac:dyDescent="0.2">
      <c r="A505" s="40"/>
      <c r="B505" s="40"/>
      <c r="C505" s="40"/>
      <c r="D505" s="40"/>
      <c r="E505" s="40"/>
      <c r="F505" s="40"/>
      <c r="G505" s="41"/>
      <c r="H505" s="42"/>
      <c r="I505" s="42"/>
      <c r="J505" s="43"/>
      <c r="K505" s="43"/>
      <c r="L505" s="44"/>
      <c r="M505" s="41"/>
      <c r="N505" s="43"/>
      <c r="O505" s="43"/>
      <c r="P505" s="43"/>
      <c r="Q505" s="43"/>
      <c r="R505" s="43"/>
      <c r="S505" s="43"/>
      <c r="T505" s="43"/>
      <c r="U505" s="43"/>
    </row>
    <row r="506" spans="1:21" ht="21" customHeight="1" x14ac:dyDescent="0.2">
      <c r="A506" s="40"/>
      <c r="B506" s="40"/>
      <c r="C506" s="40"/>
      <c r="D506" s="40"/>
      <c r="E506" s="40"/>
      <c r="F506" s="40"/>
      <c r="G506" s="41"/>
      <c r="H506" s="42"/>
      <c r="I506" s="42"/>
      <c r="J506" s="43"/>
      <c r="K506" s="43"/>
      <c r="L506" s="44"/>
      <c r="M506" s="41"/>
      <c r="N506" s="43"/>
      <c r="O506" s="43"/>
      <c r="P506" s="43"/>
      <c r="Q506" s="43"/>
      <c r="R506" s="43"/>
      <c r="S506" s="43"/>
      <c r="T506" s="43"/>
      <c r="U506" s="43"/>
    </row>
    <row r="507" spans="1:21" ht="21" customHeight="1" x14ac:dyDescent="0.2">
      <c r="A507" s="40"/>
      <c r="B507" s="40"/>
      <c r="C507" s="40"/>
      <c r="D507" s="40"/>
      <c r="E507" s="40"/>
      <c r="F507" s="40"/>
      <c r="G507" s="41"/>
      <c r="H507" s="42"/>
      <c r="I507" s="42"/>
      <c r="J507" s="43"/>
      <c r="K507" s="43"/>
      <c r="L507" s="44"/>
      <c r="M507" s="41"/>
      <c r="N507" s="43"/>
      <c r="O507" s="43"/>
      <c r="P507" s="43"/>
      <c r="Q507" s="43"/>
      <c r="R507" s="43"/>
      <c r="S507" s="43"/>
      <c r="T507" s="43"/>
      <c r="U507" s="43"/>
    </row>
    <row r="508" spans="1:21" ht="21" customHeight="1" x14ac:dyDescent="0.2">
      <c r="A508" s="40"/>
      <c r="B508" s="40"/>
      <c r="C508" s="40"/>
      <c r="D508" s="40"/>
      <c r="E508" s="40"/>
      <c r="F508" s="40"/>
      <c r="G508" s="41"/>
      <c r="H508" s="42"/>
      <c r="I508" s="42"/>
      <c r="J508" s="43"/>
      <c r="K508" s="43"/>
      <c r="L508" s="44"/>
      <c r="M508" s="41"/>
      <c r="N508" s="43"/>
      <c r="O508" s="43"/>
      <c r="P508" s="43"/>
      <c r="Q508" s="43"/>
      <c r="R508" s="43"/>
      <c r="S508" s="43"/>
      <c r="T508" s="43"/>
      <c r="U508" s="43"/>
    </row>
    <row r="509" spans="1:21" ht="21" customHeight="1" x14ac:dyDescent="0.2">
      <c r="A509" s="40"/>
      <c r="B509" s="40"/>
      <c r="C509" s="40"/>
      <c r="D509" s="40"/>
      <c r="E509" s="40"/>
      <c r="F509" s="40"/>
      <c r="G509" s="41"/>
      <c r="H509" s="42"/>
      <c r="I509" s="42"/>
      <c r="J509" s="43"/>
      <c r="K509" s="43"/>
      <c r="L509" s="44"/>
      <c r="M509" s="41"/>
      <c r="N509" s="43"/>
      <c r="O509" s="43"/>
      <c r="P509" s="43"/>
      <c r="Q509" s="43"/>
      <c r="R509" s="43"/>
      <c r="S509" s="43"/>
      <c r="T509" s="43"/>
      <c r="U509" s="43"/>
    </row>
    <row r="510" spans="1:21" ht="21" customHeight="1" x14ac:dyDescent="0.2">
      <c r="A510" s="40"/>
      <c r="B510" s="40"/>
      <c r="C510" s="40"/>
      <c r="D510" s="40"/>
      <c r="E510" s="40"/>
      <c r="F510" s="40"/>
      <c r="G510" s="41"/>
      <c r="H510" s="42"/>
      <c r="I510" s="42"/>
      <c r="J510" s="43"/>
      <c r="K510" s="43"/>
      <c r="L510" s="44"/>
      <c r="M510" s="41"/>
      <c r="N510" s="43"/>
      <c r="O510" s="43"/>
      <c r="P510" s="43"/>
      <c r="Q510" s="43"/>
      <c r="R510" s="43"/>
      <c r="S510" s="43"/>
      <c r="T510" s="43"/>
      <c r="U510" s="43"/>
    </row>
    <row r="511" spans="1:21" ht="21" customHeight="1" x14ac:dyDescent="0.2">
      <c r="A511" s="40"/>
      <c r="B511" s="40"/>
      <c r="C511" s="40"/>
      <c r="D511" s="40"/>
      <c r="E511" s="40"/>
      <c r="F511" s="40"/>
      <c r="G511" s="41"/>
      <c r="H511" s="42"/>
      <c r="I511" s="42"/>
      <c r="J511" s="43"/>
      <c r="K511" s="43"/>
      <c r="L511" s="44"/>
      <c r="M511" s="41"/>
      <c r="N511" s="43"/>
      <c r="O511" s="43"/>
      <c r="P511" s="43"/>
      <c r="Q511" s="43"/>
      <c r="R511" s="43"/>
      <c r="S511" s="43"/>
      <c r="T511" s="43"/>
      <c r="U511" s="43"/>
    </row>
    <row r="512" spans="1:21" ht="21" customHeight="1" x14ac:dyDescent="0.2">
      <c r="A512" s="40"/>
      <c r="B512" s="40"/>
      <c r="C512" s="40"/>
      <c r="D512" s="40"/>
      <c r="E512" s="40"/>
      <c r="F512" s="40"/>
      <c r="G512" s="41"/>
      <c r="H512" s="42"/>
      <c r="I512" s="42"/>
      <c r="J512" s="43"/>
      <c r="K512" s="43"/>
      <c r="L512" s="44"/>
      <c r="M512" s="41"/>
      <c r="N512" s="43"/>
      <c r="O512" s="43"/>
      <c r="P512" s="43"/>
      <c r="Q512" s="43"/>
      <c r="R512" s="43"/>
      <c r="S512" s="43"/>
      <c r="T512" s="43"/>
      <c r="U512" s="43"/>
    </row>
    <row r="513" spans="1:21" ht="21" customHeight="1" x14ac:dyDescent="0.2">
      <c r="A513" s="40"/>
      <c r="B513" s="40"/>
      <c r="C513" s="40"/>
      <c r="D513" s="40"/>
      <c r="E513" s="40"/>
      <c r="F513" s="40"/>
      <c r="G513" s="41"/>
      <c r="H513" s="42"/>
      <c r="I513" s="42"/>
      <c r="J513" s="43"/>
      <c r="K513" s="43"/>
      <c r="L513" s="44"/>
      <c r="M513" s="41"/>
      <c r="N513" s="43"/>
      <c r="O513" s="43"/>
      <c r="P513" s="43"/>
      <c r="Q513" s="43"/>
      <c r="R513" s="43"/>
      <c r="S513" s="43"/>
      <c r="T513" s="43"/>
      <c r="U513" s="43"/>
    </row>
    <row r="514" spans="1:21" ht="21" customHeight="1" x14ac:dyDescent="0.2">
      <c r="A514" s="40"/>
      <c r="B514" s="40"/>
      <c r="C514" s="40"/>
      <c r="D514" s="40"/>
      <c r="E514" s="40"/>
      <c r="F514" s="40"/>
      <c r="G514" s="41"/>
      <c r="H514" s="42"/>
      <c r="I514" s="42"/>
      <c r="J514" s="43"/>
      <c r="K514" s="43"/>
      <c r="L514" s="44"/>
      <c r="M514" s="41"/>
      <c r="N514" s="43"/>
      <c r="O514" s="43"/>
      <c r="P514" s="43"/>
      <c r="Q514" s="43"/>
      <c r="R514" s="43"/>
      <c r="S514" s="43"/>
      <c r="T514" s="43"/>
      <c r="U514" s="43"/>
    </row>
    <row r="515" spans="1:21" ht="21" customHeight="1" x14ac:dyDescent="0.2">
      <c r="A515" s="40"/>
      <c r="B515" s="40"/>
      <c r="C515" s="40"/>
      <c r="D515" s="40"/>
      <c r="E515" s="40"/>
      <c r="F515" s="40"/>
      <c r="G515" s="41"/>
      <c r="H515" s="42"/>
      <c r="I515" s="42"/>
      <c r="J515" s="43"/>
      <c r="K515" s="43"/>
      <c r="L515" s="44"/>
      <c r="M515" s="41"/>
      <c r="N515" s="43"/>
      <c r="O515" s="43"/>
      <c r="P515" s="43"/>
      <c r="Q515" s="43"/>
      <c r="R515" s="43"/>
      <c r="S515" s="43"/>
      <c r="T515" s="43"/>
      <c r="U515" s="43"/>
    </row>
    <row r="516" spans="1:21" ht="21" customHeight="1" x14ac:dyDescent="0.2">
      <c r="A516" s="40"/>
      <c r="B516" s="40"/>
      <c r="C516" s="40"/>
      <c r="D516" s="40"/>
      <c r="E516" s="40"/>
      <c r="F516" s="40"/>
      <c r="G516" s="41"/>
      <c r="H516" s="42"/>
      <c r="I516" s="42"/>
      <c r="J516" s="43"/>
      <c r="K516" s="43"/>
      <c r="L516" s="44"/>
      <c r="M516" s="41"/>
      <c r="N516" s="43"/>
      <c r="O516" s="43"/>
      <c r="P516" s="43"/>
      <c r="Q516" s="43"/>
      <c r="R516" s="43"/>
      <c r="S516" s="43"/>
      <c r="T516" s="43"/>
      <c r="U516" s="43"/>
    </row>
    <row r="517" spans="1:21" ht="21" customHeight="1" x14ac:dyDescent="0.2">
      <c r="A517" s="40"/>
      <c r="B517" s="40"/>
      <c r="C517" s="40"/>
      <c r="D517" s="40"/>
      <c r="E517" s="40"/>
      <c r="F517" s="40"/>
      <c r="G517" s="41"/>
      <c r="H517" s="42"/>
      <c r="I517" s="42"/>
      <c r="J517" s="43"/>
      <c r="K517" s="43"/>
      <c r="L517" s="44"/>
      <c r="M517" s="41"/>
      <c r="N517" s="43"/>
      <c r="O517" s="43"/>
      <c r="P517" s="43"/>
      <c r="Q517" s="43"/>
      <c r="R517" s="43"/>
      <c r="S517" s="43"/>
      <c r="T517" s="43"/>
      <c r="U517" s="43"/>
    </row>
    <row r="518" spans="1:21" ht="21" customHeight="1" x14ac:dyDescent="0.2">
      <c r="A518" s="40"/>
      <c r="B518" s="40"/>
      <c r="C518" s="40"/>
      <c r="D518" s="40"/>
      <c r="E518" s="40"/>
      <c r="F518" s="40"/>
      <c r="G518" s="41"/>
      <c r="H518" s="42"/>
      <c r="I518" s="42"/>
      <c r="J518" s="43"/>
      <c r="K518" s="43"/>
      <c r="L518" s="44"/>
      <c r="M518" s="41"/>
      <c r="N518" s="43"/>
      <c r="O518" s="43"/>
      <c r="P518" s="43"/>
      <c r="Q518" s="43"/>
      <c r="R518" s="43"/>
      <c r="S518" s="43"/>
      <c r="T518" s="43"/>
      <c r="U518" s="43"/>
    </row>
    <row r="519" spans="1:21" ht="21" customHeight="1" x14ac:dyDescent="0.2">
      <c r="A519" s="40"/>
      <c r="B519" s="40"/>
      <c r="C519" s="40"/>
      <c r="D519" s="40"/>
      <c r="E519" s="40"/>
      <c r="F519" s="40"/>
      <c r="G519" s="41"/>
      <c r="H519" s="42"/>
      <c r="I519" s="42"/>
      <c r="J519" s="43"/>
      <c r="K519" s="43"/>
      <c r="L519" s="44"/>
      <c r="M519" s="41"/>
      <c r="N519" s="43"/>
      <c r="O519" s="43"/>
      <c r="P519" s="43"/>
      <c r="Q519" s="43"/>
      <c r="R519" s="43"/>
      <c r="S519" s="43"/>
      <c r="T519" s="43"/>
      <c r="U519" s="43"/>
    </row>
    <row r="520" spans="1:21" ht="21" customHeight="1" x14ac:dyDescent="0.2">
      <c r="A520" s="40"/>
      <c r="B520" s="40"/>
      <c r="C520" s="40"/>
      <c r="D520" s="40"/>
      <c r="E520" s="40"/>
      <c r="F520" s="40"/>
      <c r="G520" s="41"/>
      <c r="H520" s="42"/>
      <c r="I520" s="42"/>
      <c r="J520" s="43"/>
      <c r="K520" s="43"/>
      <c r="L520" s="44"/>
      <c r="M520" s="41"/>
      <c r="N520" s="43"/>
      <c r="O520" s="43"/>
      <c r="P520" s="43"/>
      <c r="Q520" s="43"/>
      <c r="R520" s="43"/>
      <c r="S520" s="43"/>
      <c r="T520" s="43"/>
      <c r="U520" s="43"/>
    </row>
    <row r="521" spans="1:21" ht="21" customHeight="1" x14ac:dyDescent="0.2">
      <c r="A521" s="40"/>
      <c r="B521" s="40"/>
      <c r="C521" s="40"/>
      <c r="D521" s="40"/>
      <c r="E521" s="40"/>
      <c r="F521" s="40"/>
      <c r="G521" s="41"/>
      <c r="H521" s="42"/>
      <c r="I521" s="42"/>
      <c r="J521" s="43"/>
      <c r="K521" s="43"/>
      <c r="L521" s="44"/>
      <c r="M521" s="41"/>
      <c r="N521" s="43"/>
      <c r="O521" s="43"/>
      <c r="P521" s="43"/>
      <c r="Q521" s="43"/>
      <c r="R521" s="43"/>
      <c r="S521" s="43"/>
      <c r="T521" s="43"/>
      <c r="U521" s="43"/>
    </row>
    <row r="522" spans="1:21" ht="21" customHeight="1" x14ac:dyDescent="0.2">
      <c r="A522" s="40"/>
      <c r="B522" s="40"/>
      <c r="C522" s="40"/>
      <c r="D522" s="40"/>
      <c r="E522" s="40"/>
      <c r="F522" s="40"/>
      <c r="G522" s="41"/>
      <c r="H522" s="42"/>
      <c r="I522" s="42"/>
      <c r="J522" s="43"/>
      <c r="K522" s="43"/>
      <c r="L522" s="44"/>
      <c r="M522" s="41"/>
      <c r="N522" s="43"/>
      <c r="O522" s="43"/>
      <c r="P522" s="43"/>
      <c r="Q522" s="43"/>
      <c r="R522" s="43"/>
      <c r="S522" s="43"/>
      <c r="T522" s="43"/>
      <c r="U522" s="43"/>
    </row>
    <row r="523" spans="1:21" ht="21" customHeight="1" x14ac:dyDescent="0.2">
      <c r="A523" s="40"/>
      <c r="B523" s="40"/>
      <c r="C523" s="40"/>
      <c r="D523" s="40"/>
      <c r="E523" s="40"/>
      <c r="F523" s="40"/>
      <c r="G523" s="41"/>
      <c r="H523" s="42"/>
      <c r="I523" s="42"/>
      <c r="J523" s="43"/>
      <c r="K523" s="43"/>
      <c r="L523" s="44"/>
      <c r="M523" s="41"/>
      <c r="N523" s="43"/>
      <c r="O523" s="43"/>
      <c r="P523" s="43"/>
      <c r="Q523" s="43"/>
      <c r="R523" s="43"/>
      <c r="S523" s="43"/>
      <c r="T523" s="43"/>
      <c r="U523" s="43"/>
    </row>
    <row r="524" spans="1:21" ht="21" customHeight="1" x14ac:dyDescent="0.2">
      <c r="A524" s="40"/>
      <c r="B524" s="40"/>
      <c r="C524" s="40"/>
      <c r="D524" s="40"/>
      <c r="E524" s="40"/>
      <c r="F524" s="40"/>
      <c r="G524" s="41"/>
      <c r="H524" s="42"/>
      <c r="I524" s="42"/>
      <c r="J524" s="43"/>
      <c r="K524" s="43"/>
      <c r="L524" s="44"/>
      <c r="M524" s="41"/>
      <c r="N524" s="43"/>
      <c r="O524" s="43"/>
      <c r="P524" s="43"/>
      <c r="Q524" s="43"/>
      <c r="R524" s="43"/>
      <c r="S524" s="43"/>
      <c r="T524" s="43"/>
      <c r="U524" s="43"/>
    </row>
    <row r="525" spans="1:21" ht="21" customHeight="1" x14ac:dyDescent="0.2">
      <c r="A525" s="40"/>
      <c r="B525" s="40"/>
      <c r="C525" s="40"/>
      <c r="D525" s="40"/>
      <c r="E525" s="40"/>
      <c r="F525" s="40"/>
      <c r="G525" s="41"/>
      <c r="H525" s="42"/>
      <c r="I525" s="42"/>
      <c r="J525" s="43"/>
      <c r="K525" s="43"/>
      <c r="L525" s="44"/>
      <c r="M525" s="41"/>
      <c r="N525" s="43"/>
      <c r="O525" s="43"/>
      <c r="P525" s="43"/>
      <c r="Q525" s="43"/>
      <c r="R525" s="43"/>
      <c r="S525" s="43"/>
      <c r="T525" s="43"/>
      <c r="U525" s="43"/>
    </row>
    <row r="526" spans="1:21" ht="21" customHeight="1" x14ac:dyDescent="0.2">
      <c r="A526" s="40"/>
      <c r="B526" s="40"/>
      <c r="C526" s="40"/>
      <c r="D526" s="40"/>
      <c r="E526" s="40"/>
      <c r="F526" s="40"/>
      <c r="G526" s="41"/>
      <c r="H526" s="42"/>
      <c r="I526" s="42"/>
      <c r="J526" s="43"/>
      <c r="K526" s="43"/>
      <c r="L526" s="44"/>
      <c r="M526" s="41"/>
      <c r="N526" s="43"/>
      <c r="O526" s="43"/>
      <c r="P526" s="43"/>
      <c r="Q526" s="43"/>
      <c r="R526" s="43"/>
      <c r="S526" s="43"/>
      <c r="T526" s="43"/>
      <c r="U526" s="43"/>
    </row>
    <row r="527" spans="1:21" ht="21" customHeight="1" x14ac:dyDescent="0.2">
      <c r="A527" s="40"/>
      <c r="B527" s="40"/>
      <c r="C527" s="40"/>
      <c r="D527" s="40"/>
      <c r="E527" s="40"/>
      <c r="F527" s="40"/>
      <c r="G527" s="41"/>
      <c r="H527" s="42"/>
      <c r="I527" s="42"/>
      <c r="J527" s="43"/>
      <c r="K527" s="43"/>
      <c r="L527" s="44"/>
      <c r="M527" s="41"/>
      <c r="N527" s="43"/>
      <c r="O527" s="43"/>
      <c r="P527" s="43"/>
      <c r="Q527" s="43"/>
      <c r="R527" s="43"/>
      <c r="S527" s="43"/>
      <c r="T527" s="43"/>
      <c r="U527" s="43"/>
    </row>
    <row r="528" spans="1:21" ht="21" customHeight="1" x14ac:dyDescent="0.2">
      <c r="A528" s="40"/>
      <c r="B528" s="40"/>
      <c r="C528" s="40"/>
      <c r="D528" s="40"/>
      <c r="E528" s="40"/>
      <c r="F528" s="40"/>
      <c r="G528" s="41"/>
      <c r="H528" s="42"/>
      <c r="I528" s="42"/>
      <c r="J528" s="43"/>
      <c r="K528" s="43"/>
      <c r="L528" s="44"/>
      <c r="M528" s="41"/>
      <c r="N528" s="43"/>
      <c r="O528" s="43"/>
      <c r="P528" s="43"/>
      <c r="Q528" s="43"/>
      <c r="R528" s="43"/>
      <c r="S528" s="43"/>
      <c r="T528" s="43"/>
      <c r="U528" s="43"/>
    </row>
    <row r="529" spans="1:21" ht="21" customHeight="1" x14ac:dyDescent="0.2">
      <c r="A529" s="40"/>
      <c r="B529" s="40"/>
      <c r="C529" s="40"/>
      <c r="D529" s="40"/>
      <c r="E529" s="40"/>
      <c r="F529" s="40"/>
      <c r="G529" s="41"/>
      <c r="H529" s="42"/>
      <c r="I529" s="42"/>
      <c r="J529" s="43"/>
      <c r="K529" s="43"/>
      <c r="L529" s="44"/>
      <c r="M529" s="41"/>
      <c r="N529" s="43"/>
      <c r="O529" s="43"/>
      <c r="P529" s="43"/>
      <c r="Q529" s="43"/>
      <c r="R529" s="43"/>
      <c r="S529" s="43"/>
      <c r="T529" s="43"/>
      <c r="U529" s="43"/>
    </row>
    <row r="530" spans="1:21" ht="21" customHeight="1" x14ac:dyDescent="0.2">
      <c r="A530" s="40"/>
      <c r="B530" s="40"/>
      <c r="C530" s="40"/>
      <c r="D530" s="40"/>
      <c r="E530" s="40"/>
      <c r="F530" s="40"/>
      <c r="G530" s="41"/>
      <c r="H530" s="42"/>
      <c r="I530" s="42"/>
      <c r="J530" s="43"/>
      <c r="K530" s="43"/>
      <c r="L530" s="44"/>
      <c r="M530" s="41"/>
      <c r="N530" s="43"/>
      <c r="O530" s="43"/>
      <c r="P530" s="43"/>
      <c r="Q530" s="43"/>
      <c r="R530" s="43"/>
      <c r="S530" s="43"/>
      <c r="T530" s="43"/>
      <c r="U530" s="43"/>
    </row>
    <row r="531" spans="1:21" ht="21" customHeight="1" x14ac:dyDescent="0.2">
      <c r="A531" s="40"/>
      <c r="B531" s="40"/>
      <c r="C531" s="40"/>
      <c r="D531" s="40"/>
      <c r="E531" s="40"/>
      <c r="F531" s="40"/>
      <c r="G531" s="41"/>
      <c r="H531" s="42"/>
      <c r="I531" s="42"/>
      <c r="J531" s="43"/>
      <c r="K531" s="43"/>
      <c r="L531" s="44"/>
      <c r="M531" s="41"/>
      <c r="N531" s="43"/>
      <c r="O531" s="43"/>
      <c r="P531" s="43"/>
      <c r="Q531" s="43"/>
      <c r="R531" s="43"/>
      <c r="S531" s="43"/>
      <c r="T531" s="43"/>
      <c r="U531" s="43"/>
    </row>
    <row r="532" spans="1:21" ht="21" customHeight="1" x14ac:dyDescent="0.2">
      <c r="A532" s="40"/>
      <c r="B532" s="40"/>
      <c r="C532" s="40"/>
      <c r="D532" s="40"/>
      <c r="E532" s="40"/>
      <c r="F532" s="40"/>
      <c r="G532" s="41"/>
      <c r="H532" s="42"/>
      <c r="I532" s="42"/>
      <c r="J532" s="43"/>
      <c r="K532" s="43"/>
      <c r="L532" s="44"/>
      <c r="M532" s="41"/>
      <c r="N532" s="43"/>
      <c r="O532" s="43"/>
      <c r="P532" s="43"/>
      <c r="Q532" s="43"/>
      <c r="R532" s="43"/>
      <c r="S532" s="43"/>
      <c r="T532" s="43"/>
      <c r="U532" s="43"/>
    </row>
    <row r="533" spans="1:21" ht="21" customHeight="1" x14ac:dyDescent="0.2">
      <c r="A533" s="40"/>
      <c r="B533" s="40"/>
      <c r="C533" s="40"/>
      <c r="D533" s="40"/>
      <c r="E533" s="40"/>
      <c r="F533" s="40"/>
      <c r="G533" s="41"/>
      <c r="H533" s="42"/>
      <c r="I533" s="42"/>
      <c r="J533" s="43"/>
      <c r="K533" s="43"/>
      <c r="L533" s="44"/>
      <c r="M533" s="41"/>
      <c r="N533" s="43"/>
      <c r="O533" s="43"/>
      <c r="P533" s="43"/>
      <c r="Q533" s="43"/>
      <c r="R533" s="43"/>
      <c r="S533" s="43"/>
      <c r="T533" s="43"/>
      <c r="U533" s="43"/>
    </row>
    <row r="534" spans="1:21" ht="21" customHeight="1" x14ac:dyDescent="0.2">
      <c r="A534" s="40"/>
      <c r="B534" s="40"/>
      <c r="C534" s="40"/>
      <c r="D534" s="40"/>
      <c r="E534" s="40"/>
      <c r="F534" s="40"/>
      <c r="G534" s="41"/>
      <c r="H534" s="42"/>
      <c r="I534" s="42"/>
      <c r="J534" s="43"/>
      <c r="K534" s="43"/>
      <c r="L534" s="44"/>
      <c r="M534" s="41"/>
      <c r="N534" s="43"/>
      <c r="O534" s="43"/>
      <c r="P534" s="43"/>
      <c r="Q534" s="43"/>
      <c r="R534" s="43"/>
      <c r="S534" s="43"/>
      <c r="T534" s="43"/>
      <c r="U534" s="43"/>
    </row>
    <row r="535" spans="1:21" ht="21" customHeight="1" x14ac:dyDescent="0.2">
      <c r="A535" s="40"/>
      <c r="B535" s="40"/>
      <c r="C535" s="40"/>
      <c r="D535" s="40"/>
      <c r="E535" s="40"/>
      <c r="F535" s="40"/>
      <c r="G535" s="41"/>
      <c r="H535" s="42"/>
      <c r="I535" s="42"/>
      <c r="J535" s="43"/>
      <c r="K535" s="43"/>
      <c r="L535" s="44"/>
      <c r="M535" s="41"/>
      <c r="N535" s="43"/>
      <c r="O535" s="43"/>
      <c r="P535" s="43"/>
      <c r="Q535" s="43"/>
      <c r="R535" s="43"/>
      <c r="S535" s="43"/>
      <c r="T535" s="43"/>
      <c r="U535" s="43"/>
    </row>
    <row r="536" spans="1:21" ht="21" customHeight="1" x14ac:dyDescent="0.2">
      <c r="A536" s="40"/>
      <c r="B536" s="40"/>
      <c r="C536" s="40"/>
      <c r="D536" s="40"/>
      <c r="E536" s="40"/>
      <c r="F536" s="40"/>
      <c r="G536" s="41"/>
      <c r="H536" s="42"/>
      <c r="I536" s="42"/>
      <c r="J536" s="43"/>
      <c r="K536" s="43"/>
      <c r="L536" s="44"/>
      <c r="M536" s="41"/>
      <c r="N536" s="43"/>
      <c r="O536" s="43"/>
      <c r="P536" s="43"/>
      <c r="Q536" s="43"/>
      <c r="R536" s="43"/>
      <c r="S536" s="43"/>
      <c r="T536" s="43"/>
      <c r="U536" s="43"/>
    </row>
    <row r="537" spans="1:21" ht="21" customHeight="1" x14ac:dyDescent="0.2">
      <c r="A537" s="40"/>
      <c r="B537" s="40"/>
      <c r="C537" s="40"/>
      <c r="D537" s="40"/>
      <c r="E537" s="40"/>
      <c r="F537" s="40"/>
      <c r="G537" s="41"/>
      <c r="H537" s="42"/>
      <c r="I537" s="42"/>
      <c r="J537" s="43"/>
      <c r="K537" s="43"/>
      <c r="L537" s="44"/>
      <c r="M537" s="41"/>
      <c r="N537" s="43"/>
      <c r="O537" s="43"/>
      <c r="P537" s="43"/>
      <c r="Q537" s="43"/>
      <c r="R537" s="43"/>
      <c r="S537" s="43"/>
      <c r="T537" s="43"/>
      <c r="U537" s="43"/>
    </row>
    <row r="538" spans="1:21" ht="21" customHeight="1" x14ac:dyDescent="0.2">
      <c r="A538" s="40"/>
      <c r="B538" s="40"/>
      <c r="C538" s="40"/>
      <c r="D538" s="40"/>
      <c r="E538" s="40"/>
      <c r="F538" s="40"/>
      <c r="G538" s="41"/>
      <c r="H538" s="42"/>
      <c r="I538" s="42"/>
      <c r="J538" s="43"/>
      <c r="K538" s="43"/>
      <c r="L538" s="44"/>
      <c r="M538" s="41"/>
      <c r="N538" s="43"/>
      <c r="O538" s="43"/>
      <c r="P538" s="43"/>
      <c r="Q538" s="43"/>
      <c r="R538" s="43"/>
      <c r="S538" s="43"/>
      <c r="T538" s="43"/>
      <c r="U538" s="43"/>
    </row>
    <row r="539" spans="1:21" ht="21" customHeight="1" x14ac:dyDescent="0.2">
      <c r="A539" s="40"/>
      <c r="B539" s="40"/>
      <c r="C539" s="40"/>
      <c r="D539" s="40"/>
      <c r="E539" s="40"/>
      <c r="F539" s="40"/>
      <c r="G539" s="41"/>
      <c r="H539" s="42"/>
      <c r="I539" s="42"/>
      <c r="J539" s="43"/>
      <c r="K539" s="43"/>
      <c r="L539" s="44"/>
      <c r="M539" s="41"/>
      <c r="N539" s="43"/>
      <c r="O539" s="43"/>
      <c r="P539" s="43"/>
      <c r="Q539" s="43"/>
      <c r="R539" s="43"/>
      <c r="S539" s="43"/>
      <c r="T539" s="43"/>
      <c r="U539" s="43"/>
    </row>
    <row r="540" spans="1:21" ht="21" customHeight="1" x14ac:dyDescent="0.2">
      <c r="A540" s="40"/>
      <c r="B540" s="40"/>
      <c r="C540" s="40"/>
      <c r="D540" s="40"/>
      <c r="E540" s="40"/>
      <c r="F540" s="40"/>
      <c r="G540" s="41"/>
      <c r="H540" s="42"/>
      <c r="I540" s="42"/>
      <c r="J540" s="43"/>
      <c r="K540" s="43"/>
      <c r="L540" s="44"/>
      <c r="M540" s="41"/>
      <c r="N540" s="43"/>
      <c r="O540" s="43"/>
      <c r="P540" s="43"/>
      <c r="Q540" s="43"/>
      <c r="R540" s="43"/>
      <c r="S540" s="43"/>
      <c r="T540" s="43"/>
      <c r="U540" s="43"/>
    </row>
    <row r="541" spans="1:21" ht="21" customHeight="1" x14ac:dyDescent="0.2">
      <c r="A541" s="40"/>
      <c r="B541" s="40"/>
      <c r="C541" s="40"/>
      <c r="D541" s="40"/>
      <c r="E541" s="40"/>
      <c r="F541" s="40"/>
      <c r="G541" s="41"/>
      <c r="H541" s="42"/>
      <c r="I541" s="42"/>
      <c r="J541" s="43"/>
      <c r="K541" s="43"/>
      <c r="L541" s="44"/>
      <c r="M541" s="41"/>
      <c r="N541" s="43"/>
      <c r="O541" s="43"/>
      <c r="P541" s="43"/>
      <c r="Q541" s="43"/>
      <c r="R541" s="43"/>
      <c r="S541" s="43"/>
      <c r="T541" s="43"/>
      <c r="U541" s="43"/>
    </row>
    <row r="542" spans="1:21" ht="21" customHeight="1" x14ac:dyDescent="0.2">
      <c r="A542" s="40"/>
      <c r="B542" s="40"/>
      <c r="C542" s="40"/>
      <c r="D542" s="40"/>
      <c r="E542" s="40"/>
      <c r="F542" s="40"/>
      <c r="G542" s="41"/>
      <c r="H542" s="42"/>
      <c r="I542" s="42"/>
      <c r="J542" s="43"/>
      <c r="K542" s="43"/>
      <c r="L542" s="44"/>
      <c r="M542" s="41"/>
      <c r="N542" s="43"/>
      <c r="O542" s="43"/>
      <c r="P542" s="43"/>
      <c r="Q542" s="43"/>
      <c r="R542" s="43"/>
      <c r="S542" s="43"/>
      <c r="T542" s="43"/>
      <c r="U542" s="43"/>
    </row>
    <row r="543" spans="1:21" ht="21" customHeight="1" x14ac:dyDescent="0.2">
      <c r="A543" s="40"/>
      <c r="B543" s="40"/>
      <c r="C543" s="40"/>
      <c r="D543" s="40"/>
      <c r="E543" s="40"/>
      <c r="F543" s="40"/>
      <c r="G543" s="41"/>
      <c r="H543" s="42"/>
      <c r="I543" s="42"/>
      <c r="J543" s="43"/>
      <c r="K543" s="43"/>
      <c r="L543" s="44"/>
      <c r="M543" s="41"/>
      <c r="N543" s="43"/>
      <c r="O543" s="43"/>
      <c r="P543" s="43"/>
      <c r="Q543" s="43"/>
      <c r="R543" s="43"/>
      <c r="S543" s="43"/>
      <c r="T543" s="43"/>
      <c r="U543" s="43"/>
    </row>
  </sheetData>
  <autoFilter ref="A1:V167" xr:uid="{CF70EF48-7FC4-4BA8-A543-A60B1B66C048}">
    <sortState xmlns:xlrd2="http://schemas.microsoft.com/office/spreadsheetml/2017/richdata2" ref="A2:V167">
      <sortCondition ref="A1:A167"/>
    </sortState>
  </autoFilter>
  <sortState xmlns:xlrd2="http://schemas.microsoft.com/office/spreadsheetml/2017/richdata2" ref="A2:W168">
    <sortCondition ref="A168"/>
  </sortState>
  <pageMargins left="0.7" right="0.7" top="0.75" bottom="0.75" header="0.3" footer="0.3"/>
  <pageSetup orientation="portrait" r:id="rId1"/>
  <headerFooter>
    <oddHeader xml:space="preserve">&amp;L&amp;KFF0000SENN BROS PRICE LIST&amp;R&amp;KFF000011/14/2022
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876356D-A9CE-4D29-B186-334691172FFC}">
          <x14:formula1>
            <xm:f>'Packaging Cost'!$A$2:$A$27</xm:f>
          </x14:formula1>
          <xm:sqref>F366:F381 F342:F346 F384:F399 F348:F363 F172:F339 F2:F170</xm:sqref>
        </x14:dataValidation>
        <x14:dataValidation type="list" allowBlank="1" showInputMessage="1" showErrorMessage="1" xr:uid="{EEE9C9E1-6ABE-4FE1-A388-02059E2AF17A}">
          <x14:formula1>
            <xm:f>'Raw Cost'!$A$2:$A$210</xm:f>
          </x14:formula1>
          <xm:sqref>C366:C381 C342:C346 C348:C363 C384:C399 C172:C339 C2:C170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2C3F7-B7F5-A346-9BAA-A69B9FC20E47}">
  <dimension ref="A1:E342"/>
  <sheetViews>
    <sheetView workbookViewId="0">
      <selection activeCell="B14" sqref="B14"/>
    </sheetView>
  </sheetViews>
  <sheetFormatPr baseColWidth="10" defaultColWidth="70.1640625" defaultRowHeight="34" customHeight="1" x14ac:dyDescent="0.25"/>
  <cols>
    <col min="1" max="1" width="80.33203125" style="93" customWidth="1"/>
    <col min="2" max="2" width="26.83203125" style="98" customWidth="1"/>
    <col min="3" max="3" width="24.83203125" style="98" customWidth="1"/>
    <col min="4" max="4" width="23.1640625" style="98" customWidth="1"/>
    <col min="5" max="5" width="26" style="98" customWidth="1"/>
    <col min="6" max="16384" width="70.1640625" style="93"/>
  </cols>
  <sheetData>
    <row r="1" spans="1:5" ht="34" customHeight="1" x14ac:dyDescent="0.25">
      <c r="A1" s="99" t="s">
        <v>1014</v>
      </c>
      <c r="B1" s="100" t="s">
        <v>581</v>
      </c>
      <c r="C1" s="100" t="s">
        <v>600</v>
      </c>
      <c r="D1" s="100" t="s">
        <v>601</v>
      </c>
      <c r="E1" s="101" t="s">
        <v>602</v>
      </c>
    </row>
    <row r="2" spans="1:5" ht="34" customHeight="1" x14ac:dyDescent="0.25">
      <c r="A2" s="94" t="s">
        <v>506</v>
      </c>
      <c r="B2" s="97">
        <v>56.5</v>
      </c>
      <c r="C2" s="97">
        <f>'Master Item List'!M2</f>
        <v>34.104999999999997</v>
      </c>
      <c r="D2" s="69">
        <f>B2-C2</f>
        <v>22.395000000000003</v>
      </c>
      <c r="E2" s="87">
        <f>D2/C2</f>
        <v>0.65664858525142955</v>
      </c>
    </row>
    <row r="3" spans="1:5" ht="34" customHeight="1" x14ac:dyDescent="0.25">
      <c r="A3" s="94" t="s">
        <v>503</v>
      </c>
      <c r="B3" s="97">
        <v>46.75</v>
      </c>
      <c r="C3" s="97">
        <f>'Master Item List'!M3</f>
        <v>35.681896551724137</v>
      </c>
      <c r="D3" s="69">
        <f t="shared" ref="D3:D65" si="0">B3-C3</f>
        <v>11.068103448275863</v>
      </c>
      <c r="E3" s="87">
        <f t="shared" ref="E3:E65" si="1">D3/C3</f>
        <v>0.31018820516537415</v>
      </c>
    </row>
    <row r="4" spans="1:5" ht="34" customHeight="1" x14ac:dyDescent="0.25">
      <c r="A4" s="94" t="s">
        <v>1293</v>
      </c>
      <c r="B4" s="97">
        <v>33.5</v>
      </c>
      <c r="C4" s="97">
        <f>'Master Item List'!M4</f>
        <v>24.648448275862066</v>
      </c>
      <c r="D4" s="69">
        <f t="shared" si="0"/>
        <v>8.8515517241379342</v>
      </c>
      <c r="E4" s="87">
        <f t="shared" si="1"/>
        <v>0.35911192563006711</v>
      </c>
    </row>
    <row r="5" spans="1:5" ht="34" customHeight="1" x14ac:dyDescent="0.25">
      <c r="A5" s="94" t="s">
        <v>494</v>
      </c>
      <c r="B5" s="97">
        <v>31.25</v>
      </c>
      <c r="C5" s="97">
        <f>'Master Item List'!M5</f>
        <v>23.749137931034483</v>
      </c>
      <c r="D5" s="69">
        <f t="shared" si="0"/>
        <v>7.5008620689655174</v>
      </c>
      <c r="E5" s="87">
        <f t="shared" si="1"/>
        <v>0.31583723547134196</v>
      </c>
    </row>
    <row r="6" spans="1:5" ht="34" customHeight="1" x14ac:dyDescent="0.25">
      <c r="A6" s="94" t="s">
        <v>504</v>
      </c>
      <c r="B6" s="97">
        <v>37.25</v>
      </c>
      <c r="C6" s="97">
        <f>'Master Item List'!M6</f>
        <v>40.509482758620692</v>
      </c>
      <c r="D6" s="69">
        <f t="shared" si="0"/>
        <v>-3.2594827586206918</v>
      </c>
      <c r="E6" s="87">
        <f t="shared" si="1"/>
        <v>-8.0462216169053691E-2</v>
      </c>
    </row>
    <row r="7" spans="1:5" ht="34" customHeight="1" x14ac:dyDescent="0.25">
      <c r="A7" s="94" t="s">
        <v>1291</v>
      </c>
      <c r="B7" s="97">
        <v>29.25</v>
      </c>
      <c r="C7" s="97">
        <f>'Master Item List'!M7</f>
        <v>27.062241379310343</v>
      </c>
      <c r="D7" s="69">
        <f t="shared" si="0"/>
        <v>2.1877586206896567</v>
      </c>
      <c r="E7" s="87">
        <f t="shared" si="1"/>
        <v>8.0841737756512821E-2</v>
      </c>
    </row>
    <row r="8" spans="1:5" ht="34" customHeight="1" x14ac:dyDescent="0.25">
      <c r="A8" s="94" t="s">
        <v>505</v>
      </c>
      <c r="B8" s="97">
        <v>30.25</v>
      </c>
      <c r="C8" s="97">
        <f>'Master Item List'!M8</f>
        <v>28.225689655172413</v>
      </c>
      <c r="D8" s="69">
        <f t="shared" si="0"/>
        <v>2.0243103448275868</v>
      </c>
      <c r="E8" s="87">
        <f t="shared" si="1"/>
        <v>7.1718720412439166E-2</v>
      </c>
    </row>
    <row r="9" spans="1:5" ht="34" customHeight="1" x14ac:dyDescent="0.25">
      <c r="A9" s="94" t="s">
        <v>574</v>
      </c>
      <c r="B9" s="97">
        <v>37.5</v>
      </c>
      <c r="C9" s="97">
        <f>'Master Item List'!M9</f>
        <v>27.219444444444441</v>
      </c>
      <c r="D9" s="69">
        <f t="shared" si="0"/>
        <v>10.280555555555559</v>
      </c>
      <c r="E9" s="87">
        <f t="shared" si="1"/>
        <v>0.37769160118379441</v>
      </c>
    </row>
    <row r="10" spans="1:5" ht="34" customHeight="1" x14ac:dyDescent="0.25">
      <c r="A10" s="94" t="s">
        <v>502</v>
      </c>
      <c r="B10" s="97">
        <v>28.25</v>
      </c>
      <c r="C10" s="97">
        <f>'Master Item List'!M10</f>
        <v>17.774999999999999</v>
      </c>
      <c r="D10" s="69">
        <f t="shared" si="0"/>
        <v>10.475000000000001</v>
      </c>
      <c r="E10" s="87">
        <f t="shared" si="1"/>
        <v>0.5893108298171591</v>
      </c>
    </row>
    <row r="11" spans="1:5" ht="34" customHeight="1" x14ac:dyDescent="0.25">
      <c r="A11" s="94" t="s">
        <v>575</v>
      </c>
      <c r="B11" s="97">
        <v>37.25</v>
      </c>
      <c r="C11" s="97">
        <f>'Master Item List'!M11</f>
        <v>26.663888888888888</v>
      </c>
      <c r="D11" s="69">
        <f t="shared" si="0"/>
        <v>10.586111111111112</v>
      </c>
      <c r="E11" s="87">
        <f t="shared" si="1"/>
        <v>0.39702052297114288</v>
      </c>
    </row>
    <row r="12" spans="1:5" ht="34" customHeight="1" x14ac:dyDescent="0.25">
      <c r="A12" s="94" t="s">
        <v>445</v>
      </c>
      <c r="B12" s="97">
        <v>39</v>
      </c>
      <c r="C12" s="97">
        <f>'Master Item List'!M12</f>
        <v>37.298333333333332</v>
      </c>
      <c r="D12" s="69">
        <f t="shared" si="0"/>
        <v>1.701666666666668</v>
      </c>
      <c r="E12" s="87">
        <f t="shared" si="1"/>
        <v>4.5623128826131676E-2</v>
      </c>
    </row>
    <row r="13" spans="1:5" ht="34" customHeight="1" x14ac:dyDescent="0.25">
      <c r="A13" s="94" t="s">
        <v>511</v>
      </c>
      <c r="B13" s="97">
        <v>32.5</v>
      </c>
      <c r="C13" s="97">
        <f>'Master Item List'!M13</f>
        <v>25.704999999999998</v>
      </c>
      <c r="D13" s="69">
        <f t="shared" si="0"/>
        <v>6.7950000000000017</v>
      </c>
      <c r="E13" s="87">
        <f t="shared" si="1"/>
        <v>0.26434545808208526</v>
      </c>
    </row>
    <row r="14" spans="1:5" ht="34" customHeight="1" x14ac:dyDescent="0.25">
      <c r="A14" s="94" t="s">
        <v>62</v>
      </c>
      <c r="B14" s="97">
        <v>44.5</v>
      </c>
      <c r="C14" s="97">
        <f>'Master Item List'!M14</f>
        <v>34.504999999999995</v>
      </c>
      <c r="D14" s="69">
        <f t="shared" si="0"/>
        <v>9.9950000000000045</v>
      </c>
      <c r="E14" s="87">
        <f t="shared" si="1"/>
        <v>0.28966816403419809</v>
      </c>
    </row>
    <row r="15" spans="1:5" ht="34" customHeight="1" x14ac:dyDescent="0.25">
      <c r="A15" s="94" t="s">
        <v>512</v>
      </c>
      <c r="B15" s="97">
        <v>32.5</v>
      </c>
      <c r="C15" s="97">
        <f>'Master Item List'!M15</f>
        <v>24.217857142857142</v>
      </c>
      <c r="D15" s="69">
        <f t="shared" si="0"/>
        <v>8.2821428571428584</v>
      </c>
      <c r="E15" s="87">
        <f t="shared" si="1"/>
        <v>0.34198495797080081</v>
      </c>
    </row>
    <row r="16" spans="1:5" ht="34" customHeight="1" x14ac:dyDescent="0.25">
      <c r="A16" s="94" t="s">
        <v>1301</v>
      </c>
      <c r="B16" s="97">
        <v>72.25</v>
      </c>
      <c r="C16" s="97">
        <f>'Master Item List'!M16</f>
        <v>46.454999999999998</v>
      </c>
      <c r="D16" s="69">
        <f t="shared" si="0"/>
        <v>25.795000000000002</v>
      </c>
      <c r="E16" s="87">
        <f t="shared" si="1"/>
        <v>0.55526853944677645</v>
      </c>
    </row>
    <row r="17" spans="1:5" ht="34" customHeight="1" x14ac:dyDescent="0.25">
      <c r="A17" s="94" t="s">
        <v>1302</v>
      </c>
      <c r="B17" s="97">
        <v>81.5</v>
      </c>
      <c r="C17" s="97">
        <f>'Master Item List'!M17</f>
        <v>55.854999999999997</v>
      </c>
      <c r="D17" s="69">
        <f t="shared" si="0"/>
        <v>25.645000000000003</v>
      </c>
      <c r="E17" s="87">
        <f t="shared" si="1"/>
        <v>0.45913526094351453</v>
      </c>
    </row>
    <row r="18" spans="1:5" ht="34" customHeight="1" x14ac:dyDescent="0.25">
      <c r="A18" s="94" t="s">
        <v>394</v>
      </c>
      <c r="B18" s="97">
        <v>40.5</v>
      </c>
      <c r="C18" s="97">
        <f>'Master Item List'!M18</f>
        <v>28.574999999999999</v>
      </c>
      <c r="D18" s="69">
        <f t="shared" si="0"/>
        <v>11.925000000000001</v>
      </c>
      <c r="E18" s="87">
        <f t="shared" si="1"/>
        <v>0.41732283464566933</v>
      </c>
    </row>
    <row r="19" spans="1:5" ht="34" customHeight="1" x14ac:dyDescent="0.25">
      <c r="A19" s="94" t="s">
        <v>70</v>
      </c>
      <c r="B19" s="97">
        <v>20</v>
      </c>
      <c r="C19" s="97">
        <f>'Master Item List'!M19</f>
        <v>17.819285714285712</v>
      </c>
      <c r="D19" s="69">
        <f t="shared" si="0"/>
        <v>2.1807142857142878</v>
      </c>
      <c r="E19" s="87">
        <f t="shared" si="1"/>
        <v>0.12237944442217515</v>
      </c>
    </row>
    <row r="20" spans="1:5" ht="34" customHeight="1" x14ac:dyDescent="0.25">
      <c r="A20" s="94" t="s">
        <v>1295</v>
      </c>
      <c r="B20" s="97">
        <v>17.75</v>
      </c>
      <c r="C20" s="97">
        <f>'Master Item List'!M20</f>
        <v>17.819285714285712</v>
      </c>
      <c r="D20" s="69">
        <f t="shared" si="0"/>
        <v>-6.9285714285712174E-2</v>
      </c>
      <c r="E20" s="87">
        <f t="shared" si="1"/>
        <v>-3.8882430753195596E-3</v>
      </c>
    </row>
    <row r="21" spans="1:5" ht="34" customHeight="1" x14ac:dyDescent="0.25">
      <c r="A21" s="94" t="s">
        <v>101</v>
      </c>
      <c r="B21" s="97">
        <v>32.5</v>
      </c>
      <c r="C21" s="97">
        <f>'Master Item List'!M21</f>
        <v>22.390714285714285</v>
      </c>
      <c r="D21" s="69">
        <f t="shared" si="0"/>
        <v>10.109285714285715</v>
      </c>
      <c r="E21" s="87">
        <f t="shared" si="1"/>
        <v>0.45149456088301915</v>
      </c>
    </row>
    <row r="22" spans="1:5" ht="34" customHeight="1" x14ac:dyDescent="0.25">
      <c r="A22" s="94" t="s">
        <v>64</v>
      </c>
      <c r="B22" s="97">
        <v>23.75</v>
      </c>
      <c r="C22" s="97">
        <f>'Master Item List'!M22</f>
        <v>14.190555555555555</v>
      </c>
      <c r="D22" s="69">
        <f t="shared" si="0"/>
        <v>9.5594444444444449</v>
      </c>
      <c r="E22" s="87">
        <f t="shared" si="1"/>
        <v>0.67364835767137776</v>
      </c>
    </row>
    <row r="23" spans="1:5" ht="34" customHeight="1" x14ac:dyDescent="0.25">
      <c r="A23" s="94" t="s">
        <v>65</v>
      </c>
      <c r="B23" s="97">
        <v>23.75</v>
      </c>
      <c r="C23" s="97">
        <f>'Master Item List'!M23</f>
        <v>14.190555555555555</v>
      </c>
      <c r="D23" s="69">
        <f t="shared" si="0"/>
        <v>9.5594444444444449</v>
      </c>
      <c r="E23" s="87">
        <f t="shared" si="1"/>
        <v>0.67364835767137776</v>
      </c>
    </row>
    <row r="24" spans="1:5" ht="34" customHeight="1" x14ac:dyDescent="0.25">
      <c r="A24" s="94" t="s">
        <v>66</v>
      </c>
      <c r="B24" s="97">
        <v>30.25</v>
      </c>
      <c r="C24" s="97">
        <f>'Master Item List'!M24</f>
        <v>21.20611111111111</v>
      </c>
      <c r="D24" s="69">
        <f t="shared" si="0"/>
        <v>9.0438888888888904</v>
      </c>
      <c r="E24" s="87">
        <f t="shared" si="1"/>
        <v>0.42647559665714818</v>
      </c>
    </row>
    <row r="25" spans="1:5" ht="34" hidden="1" customHeight="1" x14ac:dyDescent="0.25">
      <c r="A25" s="94" t="s">
        <v>68</v>
      </c>
      <c r="B25" s="97">
        <v>26.25</v>
      </c>
      <c r="C25" s="97">
        <f>'Master Item List'!M25</f>
        <v>16.346428571428572</v>
      </c>
      <c r="D25" s="69">
        <f t="shared" si="0"/>
        <v>9.9035714285714285</v>
      </c>
      <c r="E25" s="87">
        <f t="shared" si="1"/>
        <v>0.60585536377539873</v>
      </c>
    </row>
    <row r="26" spans="1:5" ht="34" customHeight="1" x14ac:dyDescent="0.25">
      <c r="A26" s="94" t="s">
        <v>408</v>
      </c>
      <c r="B26" s="97">
        <v>36.25</v>
      </c>
      <c r="C26" s="97">
        <f>'Master Item List'!M26</f>
        <v>26.247857142857143</v>
      </c>
      <c r="D26" s="69">
        <f t="shared" si="0"/>
        <v>10.002142857142857</v>
      </c>
      <c r="E26" s="87">
        <f t="shared" si="1"/>
        <v>0.38106512096225542</v>
      </c>
    </row>
    <row r="27" spans="1:5" ht="34" customHeight="1" x14ac:dyDescent="0.25">
      <c r="A27" s="94" t="s">
        <v>69</v>
      </c>
      <c r="B27" s="97">
        <v>37.25</v>
      </c>
      <c r="C27" s="97">
        <f>'Master Item List'!M28</f>
        <v>25.247857142857143</v>
      </c>
      <c r="D27" s="69">
        <f t="shared" si="0"/>
        <v>12.002142857142857</v>
      </c>
      <c r="E27" s="87">
        <f t="shared" si="1"/>
        <v>0.47537273318810647</v>
      </c>
    </row>
    <row r="28" spans="1:5" ht="34" customHeight="1" x14ac:dyDescent="0.25">
      <c r="A28" s="94" t="s">
        <v>1294</v>
      </c>
      <c r="B28" s="97">
        <v>23.5</v>
      </c>
      <c r="C28" s="97">
        <f>'Master Item List'!M29</f>
        <v>16.346428571428572</v>
      </c>
      <c r="D28" s="69">
        <f t="shared" si="0"/>
        <v>7.1535714285714285</v>
      </c>
      <c r="E28" s="87">
        <f t="shared" si="1"/>
        <v>0.43762289709416646</v>
      </c>
    </row>
    <row r="29" spans="1:5" ht="34" customHeight="1" x14ac:dyDescent="0.25">
      <c r="A29" s="94" t="s">
        <v>524</v>
      </c>
      <c r="B29" s="97">
        <v>35.75</v>
      </c>
      <c r="C29" s="97">
        <f>'Master Item List'!M30</f>
        <v>25.247857142857143</v>
      </c>
      <c r="D29" s="69">
        <f t="shared" si="0"/>
        <v>10.502142857142857</v>
      </c>
      <c r="E29" s="87">
        <f t="shared" si="1"/>
        <v>0.41596175064361895</v>
      </c>
    </row>
    <row r="30" spans="1:5" ht="34" customHeight="1" x14ac:dyDescent="0.25">
      <c r="A30" s="94" t="s">
        <v>525</v>
      </c>
      <c r="B30" s="97">
        <v>24.75</v>
      </c>
      <c r="C30" s="97">
        <f>'Master Item List'!M31</f>
        <v>16.346428571428572</v>
      </c>
      <c r="D30" s="69">
        <f t="shared" si="0"/>
        <v>8.4035714285714285</v>
      </c>
      <c r="E30" s="87">
        <f t="shared" si="1"/>
        <v>0.51409220013109025</v>
      </c>
    </row>
    <row r="31" spans="1:5" ht="34" customHeight="1" x14ac:dyDescent="0.25">
      <c r="A31" s="94" t="s">
        <v>526</v>
      </c>
      <c r="B31" s="97">
        <v>34.5</v>
      </c>
      <c r="C31" s="97">
        <f>'Master Item List'!M32</f>
        <v>25.247857142857143</v>
      </c>
      <c r="D31" s="69">
        <f t="shared" si="0"/>
        <v>9.2521428571428572</v>
      </c>
      <c r="E31" s="87">
        <f t="shared" si="1"/>
        <v>0.36645259852321271</v>
      </c>
    </row>
    <row r="32" spans="1:5" ht="34" customHeight="1" x14ac:dyDescent="0.25">
      <c r="A32" s="94" t="s">
        <v>527</v>
      </c>
      <c r="B32" s="97">
        <v>34.25</v>
      </c>
      <c r="C32" s="97">
        <f>'Master Item List'!M33</f>
        <v>23.894473684210528</v>
      </c>
      <c r="D32" s="69">
        <f t="shared" si="0"/>
        <v>10.355526315789472</v>
      </c>
      <c r="E32" s="87">
        <f t="shared" si="1"/>
        <v>0.43338583024042104</v>
      </c>
    </row>
    <row r="33" spans="1:5" ht="34" customHeight="1" x14ac:dyDescent="0.25">
      <c r="A33" s="94" t="s">
        <v>528</v>
      </c>
      <c r="B33" s="97">
        <v>46.75</v>
      </c>
      <c r="C33" s="97">
        <f>'Master Item List'!M34</f>
        <v>35.93</v>
      </c>
      <c r="D33" s="69">
        <f t="shared" si="0"/>
        <v>10.82</v>
      </c>
      <c r="E33" s="87">
        <f t="shared" si="1"/>
        <v>0.30114110770943503</v>
      </c>
    </row>
    <row r="34" spans="1:5" ht="34" customHeight="1" x14ac:dyDescent="0.25">
      <c r="A34" s="94" t="s">
        <v>596</v>
      </c>
      <c r="B34" s="97"/>
      <c r="C34" s="97">
        <f>'Master Item List'!M35</f>
        <v>140.02500000000001</v>
      </c>
      <c r="D34" s="69">
        <f t="shared" si="0"/>
        <v>-140.02500000000001</v>
      </c>
      <c r="E34" s="87">
        <f t="shared" si="1"/>
        <v>-1</v>
      </c>
    </row>
    <row r="35" spans="1:5" ht="34" customHeight="1" x14ac:dyDescent="0.25">
      <c r="A35" s="94" t="s">
        <v>529</v>
      </c>
      <c r="B35" s="97">
        <v>39.5</v>
      </c>
      <c r="C35" s="97">
        <f>'Master Item List'!M36</f>
        <v>27.855</v>
      </c>
      <c r="D35" s="69">
        <f t="shared" si="0"/>
        <v>11.645</v>
      </c>
      <c r="E35" s="87">
        <f t="shared" si="1"/>
        <v>0.41805779931789622</v>
      </c>
    </row>
    <row r="36" spans="1:5" ht="34" hidden="1" customHeight="1" x14ac:dyDescent="0.25">
      <c r="A36" s="94" t="s">
        <v>530</v>
      </c>
      <c r="B36" s="97">
        <v>23</v>
      </c>
      <c r="C36" s="97">
        <f>'Master Item List'!M37</f>
        <v>17.149999999999999</v>
      </c>
      <c r="D36" s="69">
        <f t="shared" si="0"/>
        <v>5.8500000000000014</v>
      </c>
      <c r="E36" s="87">
        <f t="shared" si="1"/>
        <v>0.34110787172011675</v>
      </c>
    </row>
    <row r="37" spans="1:5" ht="34" customHeight="1" x14ac:dyDescent="0.25">
      <c r="A37" s="94" t="s">
        <v>531</v>
      </c>
      <c r="B37" s="97">
        <v>38.5</v>
      </c>
      <c r="C37" s="97">
        <f>'Master Item List'!M38</f>
        <v>26.855</v>
      </c>
      <c r="D37" s="69">
        <f t="shared" si="0"/>
        <v>11.645</v>
      </c>
      <c r="E37" s="87">
        <f t="shared" si="1"/>
        <v>0.43362502327313346</v>
      </c>
    </row>
    <row r="38" spans="1:5" ht="34" customHeight="1" x14ac:dyDescent="0.25">
      <c r="A38" s="94" t="s">
        <v>1043</v>
      </c>
      <c r="B38" s="97">
        <v>35</v>
      </c>
      <c r="C38" s="97">
        <f>'Master Item List'!M39</f>
        <v>24.774999999999999</v>
      </c>
      <c r="D38" s="69">
        <f t="shared" si="0"/>
        <v>10.225000000000001</v>
      </c>
      <c r="E38" s="87">
        <f t="shared" si="1"/>
        <v>0.41271442986881945</v>
      </c>
    </row>
    <row r="39" spans="1:5" ht="34" customHeight="1" x14ac:dyDescent="0.25">
      <c r="A39" s="94" t="s">
        <v>1042</v>
      </c>
      <c r="B39" s="97">
        <v>27.25</v>
      </c>
      <c r="C39" s="97">
        <f>'Master Item List'!M40</f>
        <v>17.149999999999999</v>
      </c>
      <c r="D39" s="69">
        <f t="shared" si="0"/>
        <v>10.100000000000001</v>
      </c>
      <c r="E39" s="87">
        <f t="shared" si="1"/>
        <v>0.58892128279883393</v>
      </c>
    </row>
    <row r="40" spans="1:5" ht="34" customHeight="1" x14ac:dyDescent="0.25">
      <c r="A40" s="94" t="s">
        <v>577</v>
      </c>
      <c r="B40" s="97">
        <v>60.25</v>
      </c>
      <c r="C40" s="97">
        <f>'Master Item List'!M41</f>
        <v>53.865000000000002</v>
      </c>
      <c r="D40" s="69">
        <f t="shared" si="0"/>
        <v>6.384999999999998</v>
      </c>
      <c r="E40" s="87">
        <f t="shared" si="1"/>
        <v>0.1185370834493641</v>
      </c>
    </row>
    <row r="41" spans="1:5" ht="34" customHeight="1" x14ac:dyDescent="0.25">
      <c r="A41" s="95" t="s">
        <v>532</v>
      </c>
      <c r="B41" s="97">
        <v>25</v>
      </c>
      <c r="C41" s="97">
        <f>'Master Item List'!M42</f>
        <v>15.161666666666667</v>
      </c>
      <c r="D41" s="69">
        <f t="shared" si="0"/>
        <v>9.8383333333333329</v>
      </c>
      <c r="E41" s="87">
        <f t="shared" si="1"/>
        <v>0.6488952401890733</v>
      </c>
    </row>
    <row r="42" spans="1:5" ht="34" customHeight="1" x14ac:dyDescent="0.25">
      <c r="A42" s="94" t="s">
        <v>533</v>
      </c>
      <c r="B42" s="97">
        <v>18.5</v>
      </c>
      <c r="C42" s="97">
        <f>'Master Item List'!M43</f>
        <v>17.819285714285712</v>
      </c>
      <c r="D42" s="69">
        <f t="shared" si="0"/>
        <v>0.68071428571428783</v>
      </c>
      <c r="E42" s="87">
        <f t="shared" si="1"/>
        <v>3.8200986090512007E-2</v>
      </c>
    </row>
    <row r="43" spans="1:5" ht="34" customHeight="1" x14ac:dyDescent="0.25">
      <c r="A43" s="94" t="s">
        <v>534</v>
      </c>
      <c r="B43" s="97">
        <v>18.5</v>
      </c>
      <c r="C43" s="97">
        <f>'Master Item List'!M44</f>
        <v>17.819285714285712</v>
      </c>
      <c r="D43" s="69">
        <f t="shared" si="0"/>
        <v>0.68071428571428783</v>
      </c>
      <c r="E43" s="87">
        <f t="shared" si="1"/>
        <v>3.8200986090512007E-2</v>
      </c>
    </row>
    <row r="44" spans="1:5" ht="34" customHeight="1" x14ac:dyDescent="0.25">
      <c r="A44" s="95" t="s">
        <v>535</v>
      </c>
      <c r="B44" s="97">
        <v>48.5</v>
      </c>
      <c r="C44" s="97">
        <f>'Master Item List'!M45</f>
        <v>37.108333333333327</v>
      </c>
      <c r="D44" s="69">
        <f t="shared" si="0"/>
        <v>11.391666666666673</v>
      </c>
      <c r="E44" s="87">
        <f t="shared" si="1"/>
        <v>0.30698405569279158</v>
      </c>
    </row>
    <row r="45" spans="1:5" ht="34" customHeight="1" x14ac:dyDescent="0.25">
      <c r="A45" s="94" t="s">
        <v>536</v>
      </c>
      <c r="B45" s="97">
        <v>18.5</v>
      </c>
      <c r="C45" s="97">
        <f>'Master Item List'!M46</f>
        <v>17.819285714285712</v>
      </c>
      <c r="D45" s="69">
        <f t="shared" si="0"/>
        <v>0.68071428571428783</v>
      </c>
      <c r="E45" s="87">
        <f t="shared" si="1"/>
        <v>3.8200986090512007E-2</v>
      </c>
    </row>
    <row r="46" spans="1:5" ht="34" customHeight="1" x14ac:dyDescent="0.25">
      <c r="A46" s="94" t="s">
        <v>537</v>
      </c>
      <c r="B46" s="97">
        <v>29</v>
      </c>
      <c r="C46" s="97">
        <f>'Master Item List'!M47</f>
        <v>19.824999999999999</v>
      </c>
      <c r="D46" s="69">
        <f t="shared" si="0"/>
        <v>9.1750000000000007</v>
      </c>
      <c r="E46" s="87">
        <f t="shared" si="1"/>
        <v>0.46279949558638089</v>
      </c>
    </row>
    <row r="47" spans="1:5" ht="34" customHeight="1" x14ac:dyDescent="0.25">
      <c r="A47" s="94" t="s">
        <v>71</v>
      </c>
      <c r="B47" s="97">
        <v>80.5</v>
      </c>
      <c r="C47" s="97">
        <f>'Master Item List'!M48</f>
        <v>72.454999999999998</v>
      </c>
      <c r="D47" s="69">
        <f t="shared" si="0"/>
        <v>8.0450000000000017</v>
      </c>
      <c r="E47" s="87">
        <f t="shared" si="1"/>
        <v>0.11103443516665519</v>
      </c>
    </row>
    <row r="48" spans="1:5" ht="34" customHeight="1" x14ac:dyDescent="0.25">
      <c r="A48" s="94" t="s">
        <v>1296</v>
      </c>
      <c r="B48" s="97">
        <v>80.5</v>
      </c>
      <c r="C48" s="97">
        <f>'Master Item List'!M49</f>
        <v>71.28</v>
      </c>
      <c r="D48" s="69">
        <f t="shared" si="0"/>
        <v>9.2199999999999989</v>
      </c>
      <c r="E48" s="87">
        <f t="shared" si="1"/>
        <v>0.12934904601571268</v>
      </c>
    </row>
    <row r="49" spans="1:5" ht="34" customHeight="1" x14ac:dyDescent="0.25">
      <c r="A49" s="94" t="s">
        <v>144</v>
      </c>
      <c r="B49" s="97">
        <v>11</v>
      </c>
      <c r="C49" s="97">
        <f>'Master Item List'!M50</f>
        <v>18.465</v>
      </c>
      <c r="D49" s="69">
        <f t="shared" si="0"/>
        <v>-7.4649999999999999</v>
      </c>
      <c r="E49" s="87">
        <f t="shared" si="1"/>
        <v>-0.40427836447332793</v>
      </c>
    </row>
    <row r="50" spans="1:5" ht="34" customHeight="1" x14ac:dyDescent="0.25">
      <c r="A50" s="94" t="s">
        <v>74</v>
      </c>
      <c r="B50" s="97">
        <v>30.25</v>
      </c>
      <c r="C50" s="97">
        <f>'Master Item List'!M51</f>
        <v>20.774999999999999</v>
      </c>
      <c r="D50" s="69">
        <f t="shared" si="0"/>
        <v>9.4750000000000014</v>
      </c>
      <c r="E50" s="87">
        <f t="shared" si="1"/>
        <v>0.45607701564380276</v>
      </c>
    </row>
    <row r="51" spans="1:5" ht="34" customHeight="1" x14ac:dyDescent="0.25">
      <c r="A51" s="94" t="s">
        <v>75</v>
      </c>
      <c r="B51" s="97">
        <v>30.25</v>
      </c>
      <c r="C51" s="97">
        <f>'Master Item List'!M52</f>
        <v>20.774999999999999</v>
      </c>
      <c r="D51" s="69">
        <f t="shared" si="0"/>
        <v>9.4750000000000014</v>
      </c>
      <c r="E51" s="87">
        <f t="shared" si="1"/>
        <v>0.45607701564380276</v>
      </c>
    </row>
    <row r="52" spans="1:5" ht="34" customHeight="1" x14ac:dyDescent="0.25">
      <c r="A52" s="94" t="s">
        <v>540</v>
      </c>
      <c r="B52" s="97">
        <v>6.25</v>
      </c>
      <c r="C52" s="97">
        <f>'Master Item List'!M53</f>
        <v>9.0499999999999989</v>
      </c>
      <c r="D52" s="69">
        <f t="shared" si="0"/>
        <v>-2.7999999999999989</v>
      </c>
      <c r="E52" s="87">
        <f t="shared" si="1"/>
        <v>-0.3093922651933701</v>
      </c>
    </row>
    <row r="53" spans="1:5" ht="34" customHeight="1" x14ac:dyDescent="0.25">
      <c r="A53" s="94" t="s">
        <v>84</v>
      </c>
      <c r="B53" s="97">
        <v>44.25</v>
      </c>
      <c r="C53" s="97">
        <f>'Master Item List'!M54</f>
        <v>33.908333333333324</v>
      </c>
      <c r="D53" s="69">
        <f t="shared" si="0"/>
        <v>10.341666666666676</v>
      </c>
      <c r="E53" s="87">
        <f t="shared" si="1"/>
        <v>0.3049889407716887</v>
      </c>
    </row>
    <row r="54" spans="1:5" ht="34" customHeight="1" x14ac:dyDescent="0.25">
      <c r="A54" s="94" t="s">
        <v>542</v>
      </c>
      <c r="B54" s="97">
        <v>30.25</v>
      </c>
      <c r="C54" s="97">
        <f>'Master Item List'!M55</f>
        <v>18.725000000000001</v>
      </c>
      <c r="D54" s="69">
        <f t="shared" si="0"/>
        <v>11.524999999999999</v>
      </c>
      <c r="E54" s="87">
        <f t="shared" si="1"/>
        <v>0.61548731642189569</v>
      </c>
    </row>
    <row r="55" spans="1:5" ht="34" hidden="1" customHeight="1" x14ac:dyDescent="0.25">
      <c r="A55" s="94" t="s">
        <v>545</v>
      </c>
      <c r="B55" s="97">
        <v>36</v>
      </c>
      <c r="C55" s="97">
        <f>'Master Item List'!M56</f>
        <v>27.986339869281046</v>
      </c>
      <c r="D55" s="69">
        <f t="shared" si="0"/>
        <v>8.0136601307189537</v>
      </c>
      <c r="E55" s="87">
        <f t="shared" si="1"/>
        <v>0.28634184277577057</v>
      </c>
    </row>
    <row r="56" spans="1:5" ht="34" customHeight="1" x14ac:dyDescent="0.25">
      <c r="A56" s="94" t="s">
        <v>1297</v>
      </c>
      <c r="B56" s="97">
        <v>25.25</v>
      </c>
      <c r="C56" s="97">
        <f>'Master Item List'!M57</f>
        <v>13.882401960784314</v>
      </c>
      <c r="D56" s="69">
        <f t="shared" si="0"/>
        <v>11.367598039215686</v>
      </c>
      <c r="E56" s="87">
        <f t="shared" si="1"/>
        <v>0.81884950971218318</v>
      </c>
    </row>
    <row r="57" spans="1:5" ht="34" customHeight="1" x14ac:dyDescent="0.25">
      <c r="A57" s="94" t="s">
        <v>1298</v>
      </c>
      <c r="B57" s="97">
        <v>25.25</v>
      </c>
      <c r="C57" s="97">
        <f>'Master Item List'!M58</f>
        <v>17.920669934640525</v>
      </c>
      <c r="D57" s="69">
        <f t="shared" si="0"/>
        <v>7.3293300653594748</v>
      </c>
      <c r="E57" s="87">
        <f t="shared" si="1"/>
        <v>0.40898750393208977</v>
      </c>
    </row>
    <row r="58" spans="1:5" ht="34" customHeight="1" x14ac:dyDescent="0.25">
      <c r="A58" s="94" t="s">
        <v>1280</v>
      </c>
      <c r="B58" s="97">
        <v>26.75</v>
      </c>
      <c r="C58" s="97">
        <f>'Master Item List'!M59</f>
        <v>17.298333333333332</v>
      </c>
      <c r="D58" s="69">
        <f t="shared" si="0"/>
        <v>9.451666666666668</v>
      </c>
      <c r="E58" s="87">
        <f t="shared" si="1"/>
        <v>0.54639175257731976</v>
      </c>
    </row>
    <row r="59" spans="1:5" ht="34" customHeight="1" x14ac:dyDescent="0.25">
      <c r="A59" s="94" t="s">
        <v>603</v>
      </c>
      <c r="B59" s="97">
        <v>10</v>
      </c>
      <c r="C59" s="97">
        <f>'Master Item List'!M60</f>
        <v>4.6805555555555554</v>
      </c>
      <c r="D59" s="69">
        <f t="shared" si="0"/>
        <v>5.3194444444444446</v>
      </c>
      <c r="E59" s="87">
        <f t="shared" si="1"/>
        <v>1.1364985163204748</v>
      </c>
    </row>
    <row r="60" spans="1:5" ht="34" customHeight="1" x14ac:dyDescent="0.25">
      <c r="A60" s="94" t="s">
        <v>515</v>
      </c>
      <c r="B60" s="97">
        <v>29.25</v>
      </c>
      <c r="C60" s="97">
        <f>'Master Item List'!M61</f>
        <v>19.75277777777778</v>
      </c>
      <c r="D60" s="69">
        <f t="shared" si="0"/>
        <v>9.49722222222222</v>
      </c>
      <c r="E60" s="87">
        <f t="shared" si="1"/>
        <v>0.48080438756855559</v>
      </c>
    </row>
    <row r="61" spans="1:5" ht="34" customHeight="1" x14ac:dyDescent="0.25">
      <c r="A61" s="94" t="s">
        <v>1019</v>
      </c>
      <c r="B61" s="97">
        <v>31.25</v>
      </c>
      <c r="C61" s="97">
        <f>'Master Item List'!M62</f>
        <v>21.135000000000002</v>
      </c>
      <c r="D61" s="69">
        <f t="shared" si="0"/>
        <v>10.114999999999998</v>
      </c>
      <c r="E61" s="87">
        <f t="shared" si="1"/>
        <v>0.47859001656020805</v>
      </c>
    </row>
    <row r="62" spans="1:5" ht="34" customHeight="1" x14ac:dyDescent="0.25">
      <c r="A62" s="94" t="s">
        <v>450</v>
      </c>
      <c r="B62" s="97">
        <v>39.75</v>
      </c>
      <c r="C62" s="97">
        <f>'Master Item List'!M63</f>
        <v>13.955000000000002</v>
      </c>
      <c r="D62" s="69">
        <f t="shared" si="0"/>
        <v>25.794999999999998</v>
      </c>
      <c r="E62" s="87">
        <f t="shared" si="1"/>
        <v>1.8484414188462912</v>
      </c>
    </row>
    <row r="63" spans="1:5" ht="34" customHeight="1" x14ac:dyDescent="0.25">
      <c r="A63" s="94" t="s">
        <v>549</v>
      </c>
      <c r="B63" s="97">
        <v>27</v>
      </c>
      <c r="C63" s="97">
        <f>'Master Item List'!M64</f>
        <v>17.301666666666669</v>
      </c>
      <c r="D63" s="69">
        <f t="shared" si="0"/>
        <v>9.6983333333333306</v>
      </c>
      <c r="E63" s="87">
        <f t="shared" si="1"/>
        <v>0.56054330026009025</v>
      </c>
    </row>
    <row r="64" spans="1:5" ht="34" customHeight="1" x14ac:dyDescent="0.25">
      <c r="A64" s="94" t="s">
        <v>85</v>
      </c>
      <c r="B64" s="97">
        <v>27</v>
      </c>
      <c r="C64" s="97">
        <f>'Master Item List'!M65</f>
        <v>17.301666666666669</v>
      </c>
      <c r="D64" s="69">
        <f t="shared" si="0"/>
        <v>9.6983333333333306</v>
      </c>
      <c r="E64" s="87">
        <f t="shared" si="1"/>
        <v>0.56054330026009025</v>
      </c>
    </row>
    <row r="65" spans="1:5" ht="34" customHeight="1" x14ac:dyDescent="0.25">
      <c r="A65" s="94" t="s">
        <v>548</v>
      </c>
      <c r="B65" s="97">
        <v>36.5</v>
      </c>
      <c r="C65" s="97">
        <f>'Master Item List'!M66</f>
        <v>28.603333333333335</v>
      </c>
      <c r="D65" s="69">
        <f t="shared" si="0"/>
        <v>7.8966666666666647</v>
      </c>
      <c r="E65" s="87">
        <f t="shared" si="1"/>
        <v>0.27607504952802697</v>
      </c>
    </row>
    <row r="66" spans="1:5" ht="34" customHeight="1" x14ac:dyDescent="0.25">
      <c r="A66" s="94" t="s">
        <v>448</v>
      </c>
      <c r="B66" s="97">
        <v>35.5</v>
      </c>
      <c r="C66" s="97">
        <f>'Master Item List'!M67</f>
        <v>30.069999999999997</v>
      </c>
      <c r="D66" s="69">
        <f t="shared" ref="D66:D129" si="2">B66-C66</f>
        <v>5.4300000000000033</v>
      </c>
      <c r="E66" s="87">
        <f t="shared" ref="E66:E129" si="3">D66/C66</f>
        <v>0.18057864981709357</v>
      </c>
    </row>
    <row r="67" spans="1:5" ht="34" customHeight="1" x14ac:dyDescent="0.25">
      <c r="A67" s="94" t="s">
        <v>472</v>
      </c>
      <c r="B67" s="97">
        <v>8</v>
      </c>
      <c r="C67" s="97">
        <f>'Master Item List'!M68</f>
        <v>14.514999999999999</v>
      </c>
      <c r="D67" s="69">
        <f t="shared" si="2"/>
        <v>-6.5149999999999988</v>
      </c>
      <c r="E67" s="87">
        <f t="shared" si="3"/>
        <v>-0.44884602135721663</v>
      </c>
    </row>
    <row r="68" spans="1:5" ht="34" customHeight="1" x14ac:dyDescent="0.25">
      <c r="A68" s="94" t="s">
        <v>552</v>
      </c>
      <c r="B68" s="97">
        <v>30.25</v>
      </c>
      <c r="C68" s="97">
        <f>'Master Item List'!M69</f>
        <v>22.137727272727272</v>
      </c>
      <c r="D68" s="69">
        <f t="shared" si="2"/>
        <v>8.1122727272727282</v>
      </c>
      <c r="E68" s="87">
        <f t="shared" si="3"/>
        <v>0.36644559883374744</v>
      </c>
    </row>
    <row r="69" spans="1:5" ht="34" customHeight="1" x14ac:dyDescent="0.25">
      <c r="A69" s="94" t="s">
        <v>594</v>
      </c>
      <c r="B69" s="97">
        <v>22.5</v>
      </c>
      <c r="C69" s="97">
        <f>'Master Item List'!M70</f>
        <v>14.891363636363637</v>
      </c>
      <c r="D69" s="69">
        <f t="shared" si="2"/>
        <v>7.6086363636363625</v>
      </c>
      <c r="E69" s="87">
        <f t="shared" si="3"/>
        <v>0.51094288941119004</v>
      </c>
    </row>
    <row r="70" spans="1:5" ht="34" customHeight="1" x14ac:dyDescent="0.25">
      <c r="A70" s="94" t="s">
        <v>406</v>
      </c>
      <c r="B70" s="97">
        <v>17.5</v>
      </c>
      <c r="C70" s="97">
        <f>'Master Item List'!M71</f>
        <v>13.280000000000001</v>
      </c>
      <c r="D70" s="69">
        <f t="shared" si="2"/>
        <v>4.2199999999999989</v>
      </c>
      <c r="E70" s="87">
        <f t="shared" si="3"/>
        <v>0.3177710843373493</v>
      </c>
    </row>
    <row r="71" spans="1:5" ht="34" customHeight="1" x14ac:dyDescent="0.25">
      <c r="A71" s="94" t="s">
        <v>93</v>
      </c>
      <c r="B71" s="97">
        <v>33.25</v>
      </c>
      <c r="C71" s="97">
        <f>'Master Item List'!M72</f>
        <v>23.810000000000002</v>
      </c>
      <c r="D71" s="69">
        <f t="shared" si="2"/>
        <v>9.4399999999999977</v>
      </c>
      <c r="E71" s="87">
        <f t="shared" si="3"/>
        <v>0.39647207055858869</v>
      </c>
    </row>
    <row r="72" spans="1:5" ht="34" customHeight="1" x14ac:dyDescent="0.25">
      <c r="A72" s="94" t="s">
        <v>95</v>
      </c>
      <c r="B72" s="97">
        <v>24.5</v>
      </c>
      <c r="C72" s="97">
        <f>'Master Item List'!M73</f>
        <v>20.428333333333335</v>
      </c>
      <c r="D72" s="69">
        <f t="shared" si="2"/>
        <v>4.0716666666666654</v>
      </c>
      <c r="E72" s="87">
        <f t="shared" si="3"/>
        <v>0.19931467732724151</v>
      </c>
    </row>
    <row r="73" spans="1:5" ht="34" customHeight="1" x14ac:dyDescent="0.25">
      <c r="A73" s="94" t="s">
        <v>598</v>
      </c>
      <c r="B73" s="97">
        <v>33.25</v>
      </c>
      <c r="C73" s="97">
        <f>'Master Item List'!M74</f>
        <v>22.635000000000002</v>
      </c>
      <c r="D73" s="69">
        <f t="shared" si="2"/>
        <v>10.614999999999998</v>
      </c>
      <c r="E73" s="87">
        <f t="shared" si="3"/>
        <v>0.46896399381488835</v>
      </c>
    </row>
    <row r="74" spans="1:5" ht="34" customHeight="1" x14ac:dyDescent="0.25">
      <c r="A74" s="94" t="s">
        <v>585</v>
      </c>
      <c r="B74" s="97">
        <v>23</v>
      </c>
      <c r="C74" s="97">
        <f>'Master Item List'!M75</f>
        <v>25.774999999999999</v>
      </c>
      <c r="D74" s="69">
        <f t="shared" si="2"/>
        <v>-2.7749999999999986</v>
      </c>
      <c r="E74" s="87">
        <f t="shared" si="3"/>
        <v>-0.10766246362754603</v>
      </c>
    </row>
    <row r="75" spans="1:5" ht="34" customHeight="1" x14ac:dyDescent="0.25">
      <c r="A75" s="94" t="s">
        <v>109</v>
      </c>
      <c r="B75" s="97">
        <v>55.25</v>
      </c>
      <c r="C75" s="97">
        <f>'Master Item List'!M76</f>
        <v>44.475000000000001</v>
      </c>
      <c r="D75" s="69">
        <f t="shared" si="2"/>
        <v>10.774999999999999</v>
      </c>
      <c r="E75" s="87">
        <f t="shared" si="3"/>
        <v>0.24227093872962335</v>
      </c>
    </row>
    <row r="76" spans="1:5" ht="34" customHeight="1" x14ac:dyDescent="0.25">
      <c r="A76" s="94" t="s">
        <v>135</v>
      </c>
      <c r="B76" s="97">
        <v>37.5</v>
      </c>
      <c r="C76" s="97">
        <f>'Master Item List'!M77</f>
        <v>26.99388888888889</v>
      </c>
      <c r="D76" s="69">
        <f t="shared" si="2"/>
        <v>10.50611111111111</v>
      </c>
      <c r="E76" s="87">
        <f t="shared" si="3"/>
        <v>0.38920331762333032</v>
      </c>
    </row>
    <row r="77" spans="1:5" ht="34" customHeight="1" x14ac:dyDescent="0.25">
      <c r="A77" s="94" t="s">
        <v>136</v>
      </c>
      <c r="B77" s="97">
        <v>16.5</v>
      </c>
      <c r="C77" s="97">
        <f>'Master Item List'!M78</f>
        <v>12.187222222222221</v>
      </c>
      <c r="D77" s="69">
        <f t="shared" si="2"/>
        <v>4.3127777777777787</v>
      </c>
      <c r="E77" s="87">
        <f t="shared" si="3"/>
        <v>0.35387701144185635</v>
      </c>
    </row>
    <row r="78" spans="1:5" ht="34" customHeight="1" x14ac:dyDescent="0.25">
      <c r="A78" s="94" t="s">
        <v>137</v>
      </c>
      <c r="B78" s="97">
        <v>28.75</v>
      </c>
      <c r="C78" s="97">
        <f>'Master Item List'!M79</f>
        <v>18.839444444444446</v>
      </c>
      <c r="D78" s="69">
        <f t="shared" si="2"/>
        <v>9.910555555555554</v>
      </c>
      <c r="E78" s="87">
        <f t="shared" si="3"/>
        <v>0.52605349296688375</v>
      </c>
    </row>
    <row r="79" spans="1:5" ht="34" customHeight="1" x14ac:dyDescent="0.25">
      <c r="A79" s="94" t="s">
        <v>99</v>
      </c>
      <c r="B79" s="97">
        <v>37.5</v>
      </c>
      <c r="C79" s="97">
        <f>'Master Item List'!M80</f>
        <v>26.99388888888889</v>
      </c>
      <c r="D79" s="69">
        <f t="shared" si="2"/>
        <v>10.50611111111111</v>
      </c>
      <c r="E79" s="87">
        <f t="shared" si="3"/>
        <v>0.38920331762333032</v>
      </c>
    </row>
    <row r="80" spans="1:5" ht="34" customHeight="1" x14ac:dyDescent="0.25">
      <c r="A80" s="94" t="s">
        <v>138</v>
      </c>
      <c r="B80" s="97">
        <v>16.5</v>
      </c>
      <c r="C80" s="97">
        <f>'Master Item List'!M81</f>
        <v>12.187222222222221</v>
      </c>
      <c r="D80" s="69">
        <f t="shared" si="2"/>
        <v>4.3127777777777787</v>
      </c>
      <c r="E80" s="87">
        <f t="shared" si="3"/>
        <v>0.35387701144185635</v>
      </c>
    </row>
    <row r="81" spans="1:5" ht="34" customHeight="1" x14ac:dyDescent="0.25">
      <c r="A81" s="94" t="s">
        <v>139</v>
      </c>
      <c r="B81" s="97">
        <v>46.5</v>
      </c>
      <c r="C81" s="97">
        <f>'Master Item List'!M82</f>
        <v>36.438333333333325</v>
      </c>
      <c r="D81" s="69">
        <f t="shared" si="2"/>
        <v>10.061666666666675</v>
      </c>
      <c r="E81" s="87">
        <f t="shared" si="3"/>
        <v>0.27612861912820774</v>
      </c>
    </row>
    <row r="82" spans="1:5" ht="34" customHeight="1" x14ac:dyDescent="0.25">
      <c r="A82" s="94" t="s">
        <v>455</v>
      </c>
      <c r="B82" s="97">
        <v>12.5</v>
      </c>
      <c r="C82" s="97">
        <f>'Master Item List'!M83</f>
        <v>8.1788888888888884</v>
      </c>
      <c r="D82" s="69">
        <f t="shared" si="2"/>
        <v>4.3211111111111116</v>
      </c>
      <c r="E82" s="87">
        <f t="shared" si="3"/>
        <v>0.52832495584839023</v>
      </c>
    </row>
    <row r="83" spans="1:5" ht="34" customHeight="1" x14ac:dyDescent="0.25">
      <c r="A83" s="94" t="s">
        <v>1052</v>
      </c>
      <c r="B83" s="97">
        <v>58</v>
      </c>
      <c r="C83" s="97">
        <f>'Master Item List'!M84</f>
        <v>43.395000000000003</v>
      </c>
      <c r="D83" s="69">
        <f t="shared" si="2"/>
        <v>14.604999999999997</v>
      </c>
      <c r="E83" s="87">
        <f t="shared" si="3"/>
        <v>0.33655951146445434</v>
      </c>
    </row>
    <row r="84" spans="1:5" ht="34" customHeight="1" x14ac:dyDescent="0.25">
      <c r="A84" s="94" t="s">
        <v>100</v>
      </c>
      <c r="B84" s="97">
        <v>28.75</v>
      </c>
      <c r="C84" s="97">
        <f>'Master Item List'!M85</f>
        <v>18.839444444444446</v>
      </c>
      <c r="D84" s="69">
        <f t="shared" si="2"/>
        <v>9.910555555555554</v>
      </c>
      <c r="E84" s="87">
        <f t="shared" si="3"/>
        <v>0.52605349296688375</v>
      </c>
    </row>
    <row r="85" spans="1:5" ht="34" customHeight="1" x14ac:dyDescent="0.25">
      <c r="A85" s="94" t="s">
        <v>133</v>
      </c>
      <c r="B85" s="97">
        <v>36.5</v>
      </c>
      <c r="C85" s="97">
        <f>'Master Item List'!M86</f>
        <v>28.16888888888889</v>
      </c>
      <c r="D85" s="69">
        <f t="shared" si="2"/>
        <v>8.3311111111111096</v>
      </c>
      <c r="E85" s="87">
        <f t="shared" si="3"/>
        <v>0.29575575891448397</v>
      </c>
    </row>
    <row r="86" spans="1:5" ht="34" customHeight="1" x14ac:dyDescent="0.25">
      <c r="A86" s="94" t="s">
        <v>413</v>
      </c>
      <c r="B86" s="97">
        <v>8</v>
      </c>
      <c r="C86" s="97">
        <f>'Master Item List'!M87</f>
        <v>5.95</v>
      </c>
      <c r="D86" s="69">
        <f t="shared" si="2"/>
        <v>2.0499999999999998</v>
      </c>
      <c r="E86" s="87">
        <f t="shared" si="3"/>
        <v>0.34453781512605036</v>
      </c>
    </row>
    <row r="87" spans="1:5" ht="34" customHeight="1" x14ac:dyDescent="0.25">
      <c r="A87" s="94" t="s">
        <v>169</v>
      </c>
      <c r="B87" s="97">
        <v>9.75</v>
      </c>
      <c r="C87" s="97">
        <f>'Master Item List'!M88</f>
        <v>9.6524999999999999</v>
      </c>
      <c r="D87" s="69">
        <f t="shared" si="2"/>
        <v>9.7500000000000142E-2</v>
      </c>
      <c r="E87" s="87">
        <f t="shared" si="3"/>
        <v>1.0101010101010116E-2</v>
      </c>
    </row>
    <row r="88" spans="1:5" ht="34" customHeight="1" x14ac:dyDescent="0.25">
      <c r="A88" s="94" t="s">
        <v>1049</v>
      </c>
      <c r="B88" s="97">
        <v>41.5</v>
      </c>
      <c r="C88" s="97">
        <f>'Master Item List'!M89</f>
        <v>28.794655172413794</v>
      </c>
      <c r="D88" s="69">
        <f t="shared" si="2"/>
        <v>12.705344827586206</v>
      </c>
      <c r="E88" s="87">
        <f t="shared" si="3"/>
        <v>0.4412396936692034</v>
      </c>
    </row>
    <row r="89" spans="1:5" ht="34" customHeight="1" x14ac:dyDescent="0.25">
      <c r="A89" s="94" t="s">
        <v>166</v>
      </c>
      <c r="B89" s="97">
        <v>21</v>
      </c>
      <c r="C89" s="97">
        <f>'Master Item List'!M90</f>
        <v>12.15</v>
      </c>
      <c r="D89" s="69">
        <f t="shared" si="2"/>
        <v>8.85</v>
      </c>
      <c r="E89" s="87">
        <f t="shared" si="3"/>
        <v>0.72839506172839497</v>
      </c>
    </row>
    <row r="90" spans="1:5" ht="34" customHeight="1" x14ac:dyDescent="0.25">
      <c r="A90" s="94" t="s">
        <v>103</v>
      </c>
      <c r="B90" s="97">
        <v>29</v>
      </c>
      <c r="C90" s="97">
        <f>'Master Item List'!M91</f>
        <v>16.855</v>
      </c>
      <c r="D90" s="69">
        <f t="shared" si="2"/>
        <v>12.145</v>
      </c>
      <c r="E90" s="87">
        <f t="shared" si="3"/>
        <v>0.72055769801245917</v>
      </c>
    </row>
    <row r="91" spans="1:5" ht="34" customHeight="1" x14ac:dyDescent="0.25">
      <c r="A91" s="94" t="s">
        <v>167</v>
      </c>
      <c r="B91" s="97">
        <v>21</v>
      </c>
      <c r="C91" s="97">
        <f>'Master Item List'!M92</f>
        <v>12.15</v>
      </c>
      <c r="D91" s="69">
        <f t="shared" si="2"/>
        <v>8.85</v>
      </c>
      <c r="E91" s="87">
        <f t="shared" si="3"/>
        <v>0.72839506172839497</v>
      </c>
    </row>
    <row r="92" spans="1:5" ht="34" customHeight="1" x14ac:dyDescent="0.25">
      <c r="A92" s="94" t="s">
        <v>104</v>
      </c>
      <c r="B92" s="97">
        <v>29</v>
      </c>
      <c r="C92" s="97">
        <f>'Master Item List'!M93</f>
        <v>16.855</v>
      </c>
      <c r="D92" s="69">
        <f t="shared" si="2"/>
        <v>12.145</v>
      </c>
      <c r="E92" s="87">
        <f t="shared" si="3"/>
        <v>0.72055769801245917</v>
      </c>
    </row>
    <row r="93" spans="1:5" ht="34" customHeight="1" x14ac:dyDescent="0.25">
      <c r="A93" s="94" t="s">
        <v>105</v>
      </c>
      <c r="B93" s="97">
        <v>28</v>
      </c>
      <c r="C93" s="97">
        <f>'Master Item List'!M94</f>
        <v>16.855</v>
      </c>
      <c r="D93" s="69">
        <f t="shared" si="2"/>
        <v>11.145</v>
      </c>
      <c r="E93" s="87">
        <f t="shared" si="3"/>
        <v>0.66122812221892613</v>
      </c>
    </row>
    <row r="94" spans="1:5" ht="34" customHeight="1" x14ac:dyDescent="0.25">
      <c r="A94" s="94" t="s">
        <v>106</v>
      </c>
      <c r="B94" s="97">
        <v>21</v>
      </c>
      <c r="C94" s="97">
        <f>'Master Item List'!M95</f>
        <v>12.15</v>
      </c>
      <c r="D94" s="69">
        <f t="shared" si="2"/>
        <v>8.85</v>
      </c>
      <c r="E94" s="87">
        <f t="shared" si="3"/>
        <v>0.72839506172839497</v>
      </c>
    </row>
    <row r="95" spans="1:5" ht="34" customHeight="1" x14ac:dyDescent="0.25">
      <c r="A95" s="94" t="s">
        <v>168</v>
      </c>
      <c r="B95" s="97">
        <v>29</v>
      </c>
      <c r="C95" s="97">
        <f>'Master Item List'!M96</f>
        <v>16.855</v>
      </c>
      <c r="D95" s="69">
        <f t="shared" si="2"/>
        <v>12.145</v>
      </c>
      <c r="E95" s="87">
        <f t="shared" si="3"/>
        <v>0.72055769801245917</v>
      </c>
    </row>
    <row r="96" spans="1:5" ht="34" customHeight="1" x14ac:dyDescent="0.25">
      <c r="A96" s="94" t="s">
        <v>429</v>
      </c>
      <c r="B96" s="97">
        <v>9.75</v>
      </c>
      <c r="C96" s="97">
        <f>'Master Item List'!M97</f>
        <v>7.4175000000000004</v>
      </c>
      <c r="D96" s="69">
        <f t="shared" si="2"/>
        <v>2.3324999999999996</v>
      </c>
      <c r="E96" s="87">
        <f t="shared" si="3"/>
        <v>0.31445904954499487</v>
      </c>
    </row>
    <row r="97" spans="1:5" ht="34" customHeight="1" x14ac:dyDescent="0.25">
      <c r="A97" s="94" t="s">
        <v>411</v>
      </c>
      <c r="B97" s="97">
        <v>7</v>
      </c>
      <c r="C97" s="97">
        <f>'Master Item List'!M98</f>
        <v>3.95</v>
      </c>
      <c r="D97" s="69">
        <f t="shared" si="2"/>
        <v>3.05</v>
      </c>
      <c r="E97" s="87">
        <f t="shared" si="3"/>
        <v>0.77215189873417711</v>
      </c>
    </row>
    <row r="98" spans="1:5" ht="34" customHeight="1" x14ac:dyDescent="0.25">
      <c r="A98" s="94" t="s">
        <v>1054</v>
      </c>
      <c r="B98" s="97">
        <v>26.25</v>
      </c>
      <c r="C98" s="97">
        <f>'Master Item List'!M99</f>
        <v>20.798333333333332</v>
      </c>
      <c r="D98" s="69">
        <f t="shared" si="2"/>
        <v>5.451666666666668</v>
      </c>
      <c r="E98" s="87">
        <f t="shared" si="3"/>
        <v>0.26212036220851037</v>
      </c>
    </row>
    <row r="99" spans="1:5" ht="34" customHeight="1" x14ac:dyDescent="0.25">
      <c r="A99" s="94" t="s">
        <v>110</v>
      </c>
      <c r="B99" s="97">
        <v>26.25</v>
      </c>
      <c r="C99" s="97">
        <f>'Master Item List'!M100</f>
        <v>16.991551724137935</v>
      </c>
      <c r="D99" s="69">
        <f t="shared" si="2"/>
        <v>9.2584482758620652</v>
      </c>
      <c r="E99" s="87">
        <f t="shared" si="3"/>
        <v>0.54488538929082375</v>
      </c>
    </row>
    <row r="100" spans="1:5" ht="34" customHeight="1" x14ac:dyDescent="0.25">
      <c r="A100" s="94" t="s">
        <v>1060</v>
      </c>
      <c r="B100" s="97">
        <v>38.25</v>
      </c>
      <c r="C100" s="97">
        <f>'Master Item List'!M101</f>
        <v>27.95</v>
      </c>
      <c r="D100" s="69">
        <f t="shared" si="2"/>
        <v>10.3</v>
      </c>
      <c r="E100" s="87">
        <f t="shared" si="3"/>
        <v>0.36851520572450808</v>
      </c>
    </row>
    <row r="101" spans="1:5" ht="34" customHeight="1" x14ac:dyDescent="0.25">
      <c r="A101" s="94" t="s">
        <v>113</v>
      </c>
      <c r="B101" s="97">
        <v>38.25</v>
      </c>
      <c r="C101" s="97">
        <f>'Master Item List'!M102</f>
        <v>26.774999999999999</v>
      </c>
      <c r="D101" s="69">
        <f t="shared" si="2"/>
        <v>11.475000000000001</v>
      </c>
      <c r="E101" s="87">
        <f t="shared" si="3"/>
        <v>0.42857142857142866</v>
      </c>
    </row>
    <row r="102" spans="1:5" ht="34" customHeight="1" x14ac:dyDescent="0.25">
      <c r="A102" s="94" t="s">
        <v>83</v>
      </c>
      <c r="B102" s="97">
        <v>23.5</v>
      </c>
      <c r="C102" s="97">
        <f>'Master Item List'!M103</f>
        <v>20.465</v>
      </c>
      <c r="D102" s="69">
        <f t="shared" si="2"/>
        <v>3.0350000000000001</v>
      </c>
      <c r="E102" s="87">
        <f t="shared" si="3"/>
        <v>0.14830197898851699</v>
      </c>
    </row>
    <row r="103" spans="1:5" ht="34" customHeight="1" x14ac:dyDescent="0.25">
      <c r="A103" s="94" t="s">
        <v>78</v>
      </c>
      <c r="B103" s="97">
        <v>23.25</v>
      </c>
      <c r="C103" s="97">
        <f>'Master Item List'!M104</f>
        <v>22.164411764705886</v>
      </c>
      <c r="D103" s="69">
        <f t="shared" si="2"/>
        <v>1.0855882352941144</v>
      </c>
      <c r="E103" s="87">
        <f t="shared" si="3"/>
        <v>4.8978887724093853E-2</v>
      </c>
    </row>
    <row r="104" spans="1:5" ht="34" customHeight="1" x14ac:dyDescent="0.25">
      <c r="A104" s="94" t="s">
        <v>87</v>
      </c>
      <c r="B104" s="97">
        <v>47.5</v>
      </c>
      <c r="C104" s="97">
        <f>'Master Item List'!M105</f>
        <v>37.623823529411766</v>
      </c>
      <c r="D104" s="69">
        <f t="shared" si="2"/>
        <v>9.8761764705882342</v>
      </c>
      <c r="E104" s="87">
        <f t="shared" si="3"/>
        <v>0.26249794795225173</v>
      </c>
    </row>
    <row r="105" spans="1:5" ht="34" customHeight="1" x14ac:dyDescent="0.25">
      <c r="A105" s="94" t="s">
        <v>415</v>
      </c>
      <c r="B105" s="97">
        <v>8.5</v>
      </c>
      <c r="C105" s="97">
        <f>'Master Item List'!M106</f>
        <v>16.079411764705885</v>
      </c>
      <c r="D105" s="69">
        <f t="shared" si="2"/>
        <v>-7.5794117647058847</v>
      </c>
      <c r="E105" s="87">
        <f t="shared" si="3"/>
        <v>-0.47137369672580948</v>
      </c>
    </row>
    <row r="106" spans="1:5" ht="34" customHeight="1" x14ac:dyDescent="0.25">
      <c r="A106" s="94" t="s">
        <v>76</v>
      </c>
      <c r="B106" s="97">
        <v>46.5</v>
      </c>
      <c r="C106" s="97">
        <f>'Master Item List'!M107</f>
        <v>36.453823529411771</v>
      </c>
      <c r="D106" s="69">
        <f t="shared" si="2"/>
        <v>10.046176470588229</v>
      </c>
      <c r="E106" s="87">
        <f t="shared" si="3"/>
        <v>0.27558635824532224</v>
      </c>
    </row>
    <row r="107" spans="1:5" ht="34" customHeight="1" x14ac:dyDescent="0.25">
      <c r="A107" s="94" t="s">
        <v>88</v>
      </c>
      <c r="B107" s="97">
        <v>72.5</v>
      </c>
      <c r="C107" s="97">
        <f>'Master Item List'!M108</f>
        <v>62.222647058823533</v>
      </c>
      <c r="D107" s="69">
        <f t="shared" si="2"/>
        <v>10.277352941176467</v>
      </c>
      <c r="E107" s="87">
        <f t="shared" si="3"/>
        <v>0.16517061595692881</v>
      </c>
    </row>
    <row r="108" spans="1:5" ht="34" customHeight="1" x14ac:dyDescent="0.25">
      <c r="A108" s="94" t="s">
        <v>89</v>
      </c>
      <c r="B108" s="97">
        <v>23.5</v>
      </c>
      <c r="C108" s="97">
        <f>'Master Item List'!M109</f>
        <v>21.814411764705884</v>
      </c>
      <c r="D108" s="69">
        <f t="shared" si="2"/>
        <v>1.6855882352941158</v>
      </c>
      <c r="E108" s="87">
        <f t="shared" si="3"/>
        <v>7.726947916245322E-2</v>
      </c>
    </row>
    <row r="109" spans="1:5" ht="34" customHeight="1" x14ac:dyDescent="0.25">
      <c r="A109" s="94" t="s">
        <v>1167</v>
      </c>
      <c r="B109" s="97">
        <v>26.25</v>
      </c>
      <c r="C109" s="97">
        <f>'Master Item List'!M110</f>
        <v>14.883333333333333</v>
      </c>
      <c r="D109" s="69">
        <f t="shared" si="2"/>
        <v>11.366666666666667</v>
      </c>
      <c r="E109" s="87">
        <f t="shared" si="3"/>
        <v>0.76371780515117582</v>
      </c>
    </row>
    <row r="110" spans="1:5" ht="34" customHeight="1" x14ac:dyDescent="0.25">
      <c r="A110" s="94" t="s">
        <v>91</v>
      </c>
      <c r="B110" s="97">
        <v>47.5</v>
      </c>
      <c r="C110" s="97">
        <f>'Master Item List'!M111</f>
        <v>38.094999999999999</v>
      </c>
      <c r="D110" s="69">
        <f t="shared" si="2"/>
        <v>9.4050000000000011</v>
      </c>
      <c r="E110" s="87">
        <f t="shared" si="3"/>
        <v>0.24688279301745639</v>
      </c>
    </row>
    <row r="111" spans="1:5" ht="34" customHeight="1" x14ac:dyDescent="0.25">
      <c r="A111" s="94" t="s">
        <v>418</v>
      </c>
      <c r="B111" s="97">
        <v>12</v>
      </c>
      <c r="C111" s="97">
        <f>'Master Item List'!M112</f>
        <v>13.049999999999999</v>
      </c>
      <c r="D111" s="69">
        <f t="shared" si="2"/>
        <v>-1.0499999999999989</v>
      </c>
      <c r="E111" s="87">
        <f t="shared" si="3"/>
        <v>-8.0459770114942458E-2</v>
      </c>
    </row>
    <row r="112" spans="1:5" ht="34" customHeight="1" x14ac:dyDescent="0.25">
      <c r="A112" s="94" t="s">
        <v>80</v>
      </c>
      <c r="B112" s="97">
        <v>47.5</v>
      </c>
      <c r="C112" s="97">
        <f>'Master Item List'!M113</f>
        <v>38.094999999999999</v>
      </c>
      <c r="D112" s="69">
        <f t="shared" si="2"/>
        <v>9.4050000000000011</v>
      </c>
      <c r="E112" s="87">
        <f t="shared" si="3"/>
        <v>0.24688279301745639</v>
      </c>
    </row>
    <row r="113" spans="1:5" ht="34" customHeight="1" x14ac:dyDescent="0.25">
      <c r="A113" s="94" t="s">
        <v>1050</v>
      </c>
      <c r="B113" s="97">
        <v>32.5</v>
      </c>
      <c r="C113" s="97">
        <f>'Master Item List'!M114</f>
        <v>20.061666666666664</v>
      </c>
      <c r="D113" s="69">
        <f t="shared" si="2"/>
        <v>12.438333333333336</v>
      </c>
      <c r="E113" s="87">
        <f t="shared" si="3"/>
        <v>0.62000498463072218</v>
      </c>
    </row>
    <row r="114" spans="1:5" ht="34" customHeight="1" x14ac:dyDescent="0.25">
      <c r="A114" s="94" t="s">
        <v>79</v>
      </c>
      <c r="B114" s="97">
        <v>46.5</v>
      </c>
      <c r="C114" s="97">
        <f>'Master Item List'!M115</f>
        <v>36.094999999999999</v>
      </c>
      <c r="D114" s="69">
        <f t="shared" si="2"/>
        <v>10.405000000000001</v>
      </c>
      <c r="E114" s="87">
        <f t="shared" si="3"/>
        <v>0.28826707300180082</v>
      </c>
    </row>
    <row r="115" spans="1:5" ht="34" customHeight="1" x14ac:dyDescent="0.25">
      <c r="A115" s="94" t="s">
        <v>92</v>
      </c>
      <c r="B115" s="97">
        <v>46.5</v>
      </c>
      <c r="C115" s="97">
        <f>'Master Item List'!M116</f>
        <v>35.395000000000003</v>
      </c>
      <c r="D115" s="69">
        <f t="shared" si="2"/>
        <v>11.104999999999997</v>
      </c>
      <c r="E115" s="87">
        <f t="shared" si="3"/>
        <v>0.31374487922022876</v>
      </c>
    </row>
    <row r="116" spans="1:5" ht="34" customHeight="1" x14ac:dyDescent="0.25">
      <c r="A116" s="94" t="s">
        <v>77</v>
      </c>
      <c r="B116" s="97">
        <v>44.5</v>
      </c>
      <c r="C116" s="97">
        <f>'Master Item List'!M117</f>
        <v>35.528333333333329</v>
      </c>
      <c r="D116" s="69">
        <f t="shared" si="2"/>
        <v>8.9716666666666711</v>
      </c>
      <c r="E116" s="87">
        <f t="shared" si="3"/>
        <v>0.25252146174414802</v>
      </c>
    </row>
    <row r="117" spans="1:5" ht="34" customHeight="1" x14ac:dyDescent="0.25">
      <c r="A117" s="94" t="s">
        <v>90</v>
      </c>
      <c r="B117" s="97">
        <v>44.5</v>
      </c>
      <c r="C117" s="97">
        <f>'Master Item List'!M118</f>
        <v>35.528333333333329</v>
      </c>
      <c r="D117" s="69">
        <f t="shared" si="2"/>
        <v>8.9716666666666711</v>
      </c>
      <c r="E117" s="87">
        <f t="shared" si="3"/>
        <v>0.25252146174414802</v>
      </c>
    </row>
    <row r="118" spans="1:5" ht="34" customHeight="1" x14ac:dyDescent="0.25">
      <c r="A118" s="94" t="s">
        <v>114</v>
      </c>
      <c r="B118" s="97">
        <v>35.5</v>
      </c>
      <c r="C118" s="97">
        <f>'Master Item List'!M119</f>
        <v>31.201666666666668</v>
      </c>
      <c r="D118" s="69">
        <f t="shared" si="2"/>
        <v>4.298333333333332</v>
      </c>
      <c r="E118" s="87">
        <f t="shared" si="3"/>
        <v>0.13775973505688793</v>
      </c>
    </row>
    <row r="119" spans="1:5" ht="34" customHeight="1" x14ac:dyDescent="0.25">
      <c r="A119" s="94" t="s">
        <v>118</v>
      </c>
      <c r="B119" s="97">
        <v>28</v>
      </c>
      <c r="C119" s="97">
        <f>'Master Item List'!M120</f>
        <v>17.635000000000002</v>
      </c>
      <c r="D119" s="69">
        <f t="shared" si="2"/>
        <v>10.364999999999998</v>
      </c>
      <c r="E119" s="87">
        <f t="shared" si="3"/>
        <v>0.58775163028069166</v>
      </c>
    </row>
    <row r="120" spans="1:5" ht="34" customHeight="1" x14ac:dyDescent="0.25">
      <c r="A120" s="94" t="s">
        <v>117</v>
      </c>
      <c r="B120" s="97">
        <v>28</v>
      </c>
      <c r="C120" s="97">
        <f>'Master Item List'!M121</f>
        <v>17.635000000000002</v>
      </c>
      <c r="D120" s="69">
        <f t="shared" si="2"/>
        <v>10.364999999999998</v>
      </c>
      <c r="E120" s="87">
        <f t="shared" si="3"/>
        <v>0.58775163028069166</v>
      </c>
    </row>
    <row r="121" spans="1:5" ht="34" customHeight="1" x14ac:dyDescent="0.25">
      <c r="A121" s="94" t="s">
        <v>119</v>
      </c>
      <c r="B121" s="97">
        <v>36.5</v>
      </c>
      <c r="C121" s="97">
        <f>'Master Item List'!M122</f>
        <v>28.094999999999999</v>
      </c>
      <c r="D121" s="69">
        <f t="shared" si="2"/>
        <v>8.4050000000000011</v>
      </c>
      <c r="E121" s="87">
        <f t="shared" si="3"/>
        <v>0.29916355223349356</v>
      </c>
    </row>
    <row r="122" spans="1:5" ht="34" customHeight="1" x14ac:dyDescent="0.25">
      <c r="A122" s="94" t="s">
        <v>122</v>
      </c>
      <c r="B122" s="97">
        <v>28.5</v>
      </c>
      <c r="C122" s="97">
        <f>'Master Item List'!M123</f>
        <v>18.725000000000001</v>
      </c>
      <c r="D122" s="69">
        <f t="shared" si="2"/>
        <v>9.7749999999999986</v>
      </c>
      <c r="E122" s="87">
        <f t="shared" si="3"/>
        <v>0.52202937249666215</v>
      </c>
    </row>
    <row r="123" spans="1:5" ht="34" customHeight="1" x14ac:dyDescent="0.25">
      <c r="A123" s="94" t="s">
        <v>97</v>
      </c>
      <c r="B123" s="97">
        <v>29.25</v>
      </c>
      <c r="C123" s="97">
        <f>'Master Item List'!M124</f>
        <v>18.198684210526316</v>
      </c>
      <c r="D123" s="69">
        <f t="shared" si="2"/>
        <v>11.051315789473684</v>
      </c>
      <c r="E123" s="87">
        <f t="shared" si="3"/>
        <v>0.60725905574434236</v>
      </c>
    </row>
    <row r="124" spans="1:5" ht="34" customHeight="1" x14ac:dyDescent="0.25">
      <c r="A124" s="94" t="s">
        <v>127</v>
      </c>
      <c r="B124" s="97">
        <v>29.5</v>
      </c>
      <c r="C124" s="97">
        <f>'Master Item List'!M125</f>
        <v>17.058333333333334</v>
      </c>
      <c r="D124" s="69">
        <f t="shared" si="2"/>
        <v>12.441666666666666</v>
      </c>
      <c r="E124" s="87">
        <f t="shared" si="3"/>
        <v>0.72936003908158276</v>
      </c>
    </row>
    <row r="125" spans="1:5" ht="34" customHeight="1" x14ac:dyDescent="0.25">
      <c r="A125" s="94" t="s">
        <v>121</v>
      </c>
      <c r="B125" s="97">
        <v>21</v>
      </c>
      <c r="C125" s="97">
        <f>'Master Item List'!M126</f>
        <v>14.225</v>
      </c>
      <c r="D125" s="69">
        <f t="shared" si="2"/>
        <v>6.7750000000000004</v>
      </c>
      <c r="E125" s="87">
        <f t="shared" si="3"/>
        <v>0.47627416520210902</v>
      </c>
    </row>
    <row r="126" spans="1:5" ht="34" customHeight="1" x14ac:dyDescent="0.25">
      <c r="A126" s="94" t="s">
        <v>120</v>
      </c>
      <c r="B126" s="97">
        <v>30.5</v>
      </c>
      <c r="C126" s="97">
        <f>'Master Item List'!M127</f>
        <v>18.725000000000001</v>
      </c>
      <c r="D126" s="69">
        <f t="shared" si="2"/>
        <v>11.774999999999999</v>
      </c>
      <c r="E126" s="87">
        <f t="shared" si="3"/>
        <v>0.62883845126835769</v>
      </c>
    </row>
    <row r="127" spans="1:5" ht="34" customHeight="1" x14ac:dyDescent="0.25">
      <c r="A127" s="94" t="s">
        <v>123</v>
      </c>
      <c r="B127" s="97">
        <v>29.25</v>
      </c>
      <c r="C127" s="97">
        <f>'Master Item List'!M128</f>
        <v>17.613888888888891</v>
      </c>
      <c r="D127" s="69">
        <f t="shared" si="2"/>
        <v>11.636111111111109</v>
      </c>
      <c r="E127" s="87">
        <f t="shared" si="3"/>
        <v>0.66062135309888015</v>
      </c>
    </row>
    <row r="128" spans="1:5" ht="34" customHeight="1" x14ac:dyDescent="0.25">
      <c r="A128" s="94" t="s">
        <v>96</v>
      </c>
      <c r="B128" s="97">
        <v>30.5</v>
      </c>
      <c r="C128" s="97">
        <f>'Master Item List'!M129</f>
        <v>18.725000000000001</v>
      </c>
      <c r="D128" s="69">
        <f t="shared" si="2"/>
        <v>11.774999999999999</v>
      </c>
      <c r="E128" s="87">
        <f t="shared" si="3"/>
        <v>0.62883845126835769</v>
      </c>
    </row>
    <row r="129" spans="1:5" ht="34" customHeight="1" x14ac:dyDescent="0.25">
      <c r="A129" s="94" t="s">
        <v>124</v>
      </c>
      <c r="B129" s="97">
        <v>21</v>
      </c>
      <c r="C129" s="97">
        <f>'Master Item List'!M130</f>
        <v>14.725</v>
      </c>
      <c r="D129" s="69">
        <f t="shared" si="2"/>
        <v>6.2750000000000004</v>
      </c>
      <c r="E129" s="87">
        <f t="shared" si="3"/>
        <v>0.42614601018675724</v>
      </c>
    </row>
    <row r="130" spans="1:5" ht="34" customHeight="1" x14ac:dyDescent="0.25">
      <c r="A130" s="94" t="s">
        <v>126</v>
      </c>
      <c r="B130" s="97">
        <v>21</v>
      </c>
      <c r="C130" s="97">
        <f>'Master Item List'!M131</f>
        <v>14.225</v>
      </c>
      <c r="D130" s="69">
        <f t="shared" ref="D130:D193" si="4">B130-C130</f>
        <v>6.7750000000000004</v>
      </c>
      <c r="E130" s="87">
        <f t="shared" ref="E130:E193" si="5">D130/C130</f>
        <v>0.47627416520210902</v>
      </c>
    </row>
    <row r="131" spans="1:5" ht="34" customHeight="1" x14ac:dyDescent="0.25">
      <c r="A131" s="94" t="s">
        <v>125</v>
      </c>
      <c r="B131" s="97">
        <v>30.5</v>
      </c>
      <c r="C131" s="97">
        <f>'Master Item List'!M132</f>
        <v>18.725000000000001</v>
      </c>
      <c r="D131" s="69">
        <f t="shared" si="4"/>
        <v>11.774999999999999</v>
      </c>
      <c r="E131" s="87">
        <f t="shared" si="5"/>
        <v>0.62883845126835769</v>
      </c>
    </row>
    <row r="132" spans="1:5" ht="34" customHeight="1" x14ac:dyDescent="0.25">
      <c r="A132" s="94" t="s">
        <v>128</v>
      </c>
      <c r="B132" s="97">
        <v>21</v>
      </c>
      <c r="C132" s="97">
        <f>'Master Item List'!M133</f>
        <v>14.225</v>
      </c>
      <c r="D132" s="69">
        <f t="shared" si="4"/>
        <v>6.7750000000000004</v>
      </c>
      <c r="E132" s="87">
        <f t="shared" si="5"/>
        <v>0.47627416520210902</v>
      </c>
    </row>
    <row r="133" spans="1:5" ht="34" customHeight="1" x14ac:dyDescent="0.25">
      <c r="A133" s="94" t="s">
        <v>108</v>
      </c>
      <c r="B133" s="97">
        <v>330.5</v>
      </c>
      <c r="C133" s="97">
        <f>'Master Item List'!M134</f>
        <v>19.725000000000001</v>
      </c>
      <c r="D133" s="69">
        <f t="shared" si="4"/>
        <v>310.77499999999998</v>
      </c>
      <c r="E133" s="87">
        <f t="shared" si="5"/>
        <v>15.755386565272495</v>
      </c>
    </row>
    <row r="134" spans="1:5" ht="34" customHeight="1" x14ac:dyDescent="0.25">
      <c r="A134" s="94" t="s">
        <v>1021</v>
      </c>
      <c r="B134" s="97">
        <v>26.75</v>
      </c>
      <c r="C134" s="97">
        <f>'Master Item List'!M135</f>
        <v>17.052368421052631</v>
      </c>
      <c r="D134" s="69">
        <f t="shared" si="4"/>
        <v>9.6976315789473695</v>
      </c>
      <c r="E134" s="87">
        <f t="shared" si="5"/>
        <v>0.56869704779394759</v>
      </c>
    </row>
    <row r="135" spans="1:5" ht="34" customHeight="1" x14ac:dyDescent="0.25">
      <c r="A135" s="94" t="s">
        <v>1022</v>
      </c>
      <c r="B135" s="97">
        <v>26.75</v>
      </c>
      <c r="C135" s="97">
        <f>'Master Item List'!M136</f>
        <v>17.052368421052631</v>
      </c>
      <c r="D135" s="69">
        <f t="shared" si="4"/>
        <v>9.6976315789473695</v>
      </c>
      <c r="E135" s="87">
        <f t="shared" si="5"/>
        <v>0.56869704779394759</v>
      </c>
    </row>
    <row r="136" spans="1:5" ht="34" customHeight="1" x14ac:dyDescent="0.25">
      <c r="A136" s="94" t="s">
        <v>134</v>
      </c>
      <c r="B136" s="97">
        <v>21</v>
      </c>
      <c r="C136" s="97">
        <f>'Master Item List'!M137</f>
        <v>13.725</v>
      </c>
      <c r="D136" s="69">
        <f t="shared" si="4"/>
        <v>7.2750000000000004</v>
      </c>
      <c r="E136" s="87">
        <f t="shared" si="5"/>
        <v>0.5300546448087432</v>
      </c>
    </row>
    <row r="137" spans="1:5" ht="34" customHeight="1" x14ac:dyDescent="0.25">
      <c r="A137" s="94" t="s">
        <v>98</v>
      </c>
      <c r="B137" s="97">
        <v>29.25</v>
      </c>
      <c r="C137" s="97">
        <f>'Master Item List'!M138</f>
        <v>17.725000000000001</v>
      </c>
      <c r="D137" s="69">
        <f t="shared" si="4"/>
        <v>11.524999999999999</v>
      </c>
      <c r="E137" s="87">
        <f t="shared" si="5"/>
        <v>0.65021156558533133</v>
      </c>
    </row>
    <row r="138" spans="1:5" ht="34" customHeight="1" x14ac:dyDescent="0.25">
      <c r="A138" s="94" t="s">
        <v>141</v>
      </c>
      <c r="B138" s="97">
        <v>28.5</v>
      </c>
      <c r="C138" s="97">
        <f>'Master Item List'!M139</f>
        <v>18.504999999999999</v>
      </c>
      <c r="D138" s="69">
        <f t="shared" si="4"/>
        <v>9.995000000000001</v>
      </c>
      <c r="E138" s="87">
        <f t="shared" si="5"/>
        <v>0.54012429073223467</v>
      </c>
    </row>
    <row r="139" spans="1:5" ht="34" customHeight="1" x14ac:dyDescent="0.25">
      <c r="A139" s="94" t="s">
        <v>140</v>
      </c>
      <c r="B139" s="97">
        <v>35.25</v>
      </c>
      <c r="C139" s="97">
        <f>'Master Item List'!M140</f>
        <v>25.247857142857143</v>
      </c>
      <c r="D139" s="69">
        <f t="shared" si="4"/>
        <v>10.002142857142857</v>
      </c>
      <c r="E139" s="87">
        <f t="shared" si="5"/>
        <v>0.39615808979545647</v>
      </c>
    </row>
    <row r="140" spans="1:5" ht="34" customHeight="1" x14ac:dyDescent="0.25">
      <c r="A140" s="94" t="s">
        <v>1055</v>
      </c>
      <c r="B140" s="97">
        <v>60.25</v>
      </c>
      <c r="C140" s="97">
        <f>'Master Item List'!M141</f>
        <v>51.774999999999999</v>
      </c>
      <c r="D140" s="69">
        <f t="shared" si="4"/>
        <v>8.4750000000000014</v>
      </c>
      <c r="E140" s="87">
        <f t="shared" si="5"/>
        <v>0.16368903911154034</v>
      </c>
    </row>
    <row r="141" spans="1:5" ht="34" customHeight="1" x14ac:dyDescent="0.25">
      <c r="A141" s="94" t="s">
        <v>153</v>
      </c>
      <c r="B141" s="97">
        <v>19.75</v>
      </c>
      <c r="C141" s="97">
        <f>'Master Item List'!M142</f>
        <v>18.441666666666663</v>
      </c>
      <c r="D141" s="69">
        <f t="shared" si="4"/>
        <v>1.3083333333333371</v>
      </c>
      <c r="E141" s="87">
        <f t="shared" si="5"/>
        <v>7.0944419340262313E-2</v>
      </c>
    </row>
    <row r="142" spans="1:5" ht="34" customHeight="1" x14ac:dyDescent="0.25">
      <c r="A142" s="94" t="s">
        <v>60</v>
      </c>
      <c r="B142" s="97">
        <v>22</v>
      </c>
      <c r="C142" s="97">
        <f>'Master Item List'!M143</f>
        <v>18.105</v>
      </c>
      <c r="D142" s="69">
        <f t="shared" si="4"/>
        <v>3.8949999999999996</v>
      </c>
      <c r="E142" s="87">
        <f t="shared" si="5"/>
        <v>0.21513394090030374</v>
      </c>
    </row>
    <row r="143" spans="1:5" ht="34" customHeight="1" x14ac:dyDescent="0.25">
      <c r="A143" s="94" t="s">
        <v>154</v>
      </c>
      <c r="B143" s="97">
        <v>15.5</v>
      </c>
      <c r="C143" s="97">
        <f>'Master Item List'!M144</f>
        <v>7.6150000000000002</v>
      </c>
      <c r="D143" s="69">
        <f t="shared" si="4"/>
        <v>7.8849999999999998</v>
      </c>
      <c r="E143" s="87">
        <f t="shared" si="5"/>
        <v>1.0354563361785949</v>
      </c>
    </row>
    <row r="144" spans="1:5" ht="34" customHeight="1" x14ac:dyDescent="0.25">
      <c r="A144" s="94" t="s">
        <v>156</v>
      </c>
      <c r="B144" s="97">
        <v>28.5</v>
      </c>
      <c r="C144" s="97">
        <f>'Master Item List'!M145</f>
        <v>19.968333333333334</v>
      </c>
      <c r="D144" s="69">
        <f t="shared" si="4"/>
        <v>8.5316666666666663</v>
      </c>
      <c r="E144" s="87">
        <f t="shared" si="5"/>
        <v>0.42725982806109669</v>
      </c>
    </row>
    <row r="145" spans="1:5" ht="34" customHeight="1" x14ac:dyDescent="0.25">
      <c r="A145" s="94" t="s">
        <v>155</v>
      </c>
      <c r="B145" s="97">
        <v>28.5</v>
      </c>
      <c r="C145" s="97">
        <f>'Master Item List'!M146</f>
        <v>19.968333333333334</v>
      </c>
      <c r="D145" s="69">
        <f t="shared" si="4"/>
        <v>8.5316666666666663</v>
      </c>
      <c r="E145" s="87">
        <f t="shared" si="5"/>
        <v>0.42725982806109669</v>
      </c>
    </row>
    <row r="146" spans="1:5" ht="34" customHeight="1" x14ac:dyDescent="0.25">
      <c r="A146" s="94" t="s">
        <v>149</v>
      </c>
      <c r="B146" s="97">
        <v>30.75</v>
      </c>
      <c r="C146" s="97">
        <f>'Master Item List'!M147</f>
        <v>20.994285714285716</v>
      </c>
      <c r="D146" s="69">
        <f t="shared" si="4"/>
        <v>9.7557142857142836</v>
      </c>
      <c r="E146" s="87">
        <f t="shared" si="5"/>
        <v>0.46468426782798028</v>
      </c>
    </row>
    <row r="147" spans="1:5" ht="34" customHeight="1" x14ac:dyDescent="0.25">
      <c r="A147" s="94" t="s">
        <v>150</v>
      </c>
      <c r="B147" s="97">
        <v>30.75</v>
      </c>
      <c r="C147" s="97">
        <f>'Master Item List'!M148</f>
        <v>20.994285714285716</v>
      </c>
      <c r="D147" s="69">
        <f t="shared" si="4"/>
        <v>9.7557142857142836</v>
      </c>
      <c r="E147" s="87">
        <f t="shared" si="5"/>
        <v>0.46468426782798028</v>
      </c>
    </row>
    <row r="148" spans="1:5" ht="34" customHeight="1" x14ac:dyDescent="0.25">
      <c r="A148" s="94" t="s">
        <v>147</v>
      </c>
      <c r="B148" s="97">
        <v>30.75</v>
      </c>
      <c r="C148" s="97">
        <f>'Master Item List'!M149</f>
        <v>20.994285714285716</v>
      </c>
      <c r="D148" s="69">
        <f t="shared" si="4"/>
        <v>9.7557142857142836</v>
      </c>
      <c r="E148" s="87">
        <f t="shared" si="5"/>
        <v>0.46468426782798028</v>
      </c>
    </row>
    <row r="149" spans="1:5" ht="34" customHeight="1" x14ac:dyDescent="0.25">
      <c r="A149" s="94" t="s">
        <v>151</v>
      </c>
      <c r="B149" s="97">
        <v>31.5</v>
      </c>
      <c r="C149" s="97">
        <f>'Master Item List'!M150</f>
        <v>20.069473684210529</v>
      </c>
      <c r="D149" s="69">
        <f t="shared" si="4"/>
        <v>11.430526315789471</v>
      </c>
      <c r="E149" s="87">
        <f t="shared" si="5"/>
        <v>0.56954788628973019</v>
      </c>
    </row>
    <row r="150" spans="1:5" ht="34" customHeight="1" x14ac:dyDescent="0.25">
      <c r="A150" s="94" t="s">
        <v>145</v>
      </c>
      <c r="B150" s="97">
        <v>29.75</v>
      </c>
      <c r="C150" s="97">
        <f>'Master Item List'!M151</f>
        <v>20.289285714285715</v>
      </c>
      <c r="D150" s="69">
        <f t="shared" si="4"/>
        <v>9.4607142857142854</v>
      </c>
      <c r="E150" s="87">
        <f t="shared" si="5"/>
        <v>0.4662911459250132</v>
      </c>
    </row>
    <row r="151" spans="1:5" ht="34" customHeight="1" x14ac:dyDescent="0.25">
      <c r="A151" s="94" t="s">
        <v>146</v>
      </c>
      <c r="B151" s="97">
        <v>29.75</v>
      </c>
      <c r="C151" s="97">
        <f>'Master Item List'!M152</f>
        <v>19.819285714285716</v>
      </c>
      <c r="D151" s="69">
        <f t="shared" si="4"/>
        <v>9.9307142857142843</v>
      </c>
      <c r="E151" s="87">
        <f t="shared" si="5"/>
        <v>0.50106317800122524</v>
      </c>
    </row>
    <row r="152" spans="1:5" ht="34" customHeight="1" x14ac:dyDescent="0.25">
      <c r="A152" s="94" t="s">
        <v>148</v>
      </c>
      <c r="B152" s="97">
        <v>30.75</v>
      </c>
      <c r="C152" s="97">
        <f>'Master Item List'!M153</f>
        <v>20.994285714285716</v>
      </c>
      <c r="D152" s="69">
        <f t="shared" si="4"/>
        <v>9.7557142857142836</v>
      </c>
      <c r="E152" s="87">
        <f t="shared" si="5"/>
        <v>0.46468426782798028</v>
      </c>
    </row>
    <row r="153" spans="1:5" ht="34" customHeight="1" x14ac:dyDescent="0.25">
      <c r="A153" s="94" t="s">
        <v>1056</v>
      </c>
      <c r="B153" s="97">
        <v>26.75</v>
      </c>
      <c r="C153" s="97">
        <f>'Master Item List'!M154</f>
        <v>15.381666666666666</v>
      </c>
      <c r="D153" s="69">
        <f t="shared" si="4"/>
        <v>11.368333333333334</v>
      </c>
      <c r="E153" s="87">
        <f t="shared" si="5"/>
        <v>0.73908332430382495</v>
      </c>
    </row>
    <row r="154" spans="1:5" ht="34" customHeight="1" x14ac:dyDescent="0.25">
      <c r="A154" s="94" t="s">
        <v>81</v>
      </c>
      <c r="B154" s="97">
        <v>41.75</v>
      </c>
      <c r="C154" s="97">
        <f>'Master Item List'!M155</f>
        <v>30.475000000000001</v>
      </c>
      <c r="D154" s="69">
        <f t="shared" si="4"/>
        <v>11.274999999999999</v>
      </c>
      <c r="E154" s="87">
        <f t="shared" si="5"/>
        <v>0.36997538966365867</v>
      </c>
    </row>
    <row r="155" spans="1:5" ht="34" customHeight="1" x14ac:dyDescent="0.25">
      <c r="A155" s="94" t="s">
        <v>1059</v>
      </c>
      <c r="B155" s="97">
        <v>65.5</v>
      </c>
      <c r="C155" s="97">
        <f>'Master Item List'!M156</f>
        <v>52.395000000000003</v>
      </c>
      <c r="D155" s="69">
        <f t="shared" si="4"/>
        <v>13.104999999999997</v>
      </c>
      <c r="E155" s="87">
        <f t="shared" si="5"/>
        <v>0.25011928619143042</v>
      </c>
    </row>
    <row r="156" spans="1:5" ht="34" customHeight="1" x14ac:dyDescent="0.25">
      <c r="A156" s="94" t="s">
        <v>82</v>
      </c>
      <c r="B156" s="97">
        <v>22</v>
      </c>
      <c r="C156" s="97">
        <f>'Master Item List'!M157</f>
        <v>19.135000000000002</v>
      </c>
      <c r="D156" s="69">
        <f t="shared" si="4"/>
        <v>2.8649999999999984</v>
      </c>
      <c r="E156" s="87">
        <f t="shared" si="5"/>
        <v>0.14972563365560482</v>
      </c>
    </row>
    <row r="157" spans="1:5" ht="34" customHeight="1" x14ac:dyDescent="0.25">
      <c r="A157" s="94" t="s">
        <v>1057</v>
      </c>
      <c r="B157" s="97">
        <v>54.5</v>
      </c>
      <c r="C157" s="97">
        <f>'Master Item List'!M158</f>
        <v>43.919444444444444</v>
      </c>
      <c r="D157" s="69">
        <f t="shared" si="4"/>
        <v>10.580555555555556</v>
      </c>
      <c r="E157" s="87">
        <f t="shared" si="5"/>
        <v>0.24090822844854848</v>
      </c>
    </row>
    <row r="158" spans="1:5" ht="34" customHeight="1" x14ac:dyDescent="0.25">
      <c r="A158" s="94" t="s">
        <v>102</v>
      </c>
      <c r="B158" s="97">
        <v>41.25</v>
      </c>
      <c r="C158" s="97">
        <f>'Master Item List'!M159</f>
        <v>29.594999999999999</v>
      </c>
      <c r="D158" s="69">
        <f t="shared" si="4"/>
        <v>11.655000000000001</v>
      </c>
      <c r="E158" s="87">
        <f t="shared" si="5"/>
        <v>0.39381652306132797</v>
      </c>
    </row>
    <row r="159" spans="1:5" ht="34" customHeight="1" x14ac:dyDescent="0.25">
      <c r="A159" s="94" t="s">
        <v>161</v>
      </c>
      <c r="B159" s="97">
        <v>31.25</v>
      </c>
      <c r="C159" s="97">
        <f>'Master Item List'!M160</f>
        <v>19.808333333333334</v>
      </c>
      <c r="D159" s="69">
        <f t="shared" si="4"/>
        <v>11.441666666666666</v>
      </c>
      <c r="E159" s="87">
        <f t="shared" si="5"/>
        <v>0.5776188472864956</v>
      </c>
    </row>
    <row r="160" spans="1:5" ht="34" customHeight="1" x14ac:dyDescent="0.25">
      <c r="A160" s="94" t="s">
        <v>1058</v>
      </c>
      <c r="B160" s="97">
        <v>30.5</v>
      </c>
      <c r="C160" s="97">
        <f>'Master Item List'!M161</f>
        <v>22.186111111111114</v>
      </c>
      <c r="D160" s="69">
        <f t="shared" si="4"/>
        <v>8.3138888888888864</v>
      </c>
      <c r="E160" s="87">
        <f t="shared" si="5"/>
        <v>0.3747339426568172</v>
      </c>
    </row>
    <row r="161" spans="1:5" ht="34" customHeight="1" x14ac:dyDescent="0.25">
      <c r="A161" s="94" t="s">
        <v>163</v>
      </c>
      <c r="B161" s="97">
        <v>45.5</v>
      </c>
      <c r="C161" s="97">
        <f>'Master Item List'!M162</f>
        <v>35.797222222222217</v>
      </c>
      <c r="D161" s="69">
        <f t="shared" si="4"/>
        <v>9.7027777777777828</v>
      </c>
      <c r="E161" s="87">
        <f t="shared" si="5"/>
        <v>0.27104834329168948</v>
      </c>
    </row>
    <row r="162" spans="1:5" ht="34" customHeight="1" x14ac:dyDescent="0.25">
      <c r="A162" s="94" t="s">
        <v>1148</v>
      </c>
      <c r="B162" s="97">
        <v>21</v>
      </c>
      <c r="C162" s="97">
        <f>'Master Item List'!M163</f>
        <v>16.131535947712418</v>
      </c>
      <c r="D162" s="69">
        <f t="shared" si="4"/>
        <v>4.8684640522875817</v>
      </c>
      <c r="E162" s="87">
        <f t="shared" si="5"/>
        <v>0.301797923524943</v>
      </c>
    </row>
    <row r="163" spans="1:5" ht="34" customHeight="1" x14ac:dyDescent="0.25">
      <c r="A163" s="94" t="s">
        <v>165</v>
      </c>
      <c r="B163" s="97">
        <v>28.5</v>
      </c>
      <c r="C163" s="97">
        <f>'Master Item List'!M164</f>
        <v>20.063571428571429</v>
      </c>
      <c r="D163" s="69">
        <f t="shared" si="4"/>
        <v>8.4364285714285714</v>
      </c>
      <c r="E163" s="87">
        <f t="shared" si="5"/>
        <v>0.42048488732243938</v>
      </c>
    </row>
    <row r="164" spans="1:5" ht="34" customHeight="1" x14ac:dyDescent="0.25">
      <c r="A164" s="94" t="s">
        <v>107</v>
      </c>
      <c r="B164" s="97">
        <v>45.5</v>
      </c>
      <c r="C164" s="97">
        <f>'Master Item List'!M165</f>
        <v>34.771666666666661</v>
      </c>
      <c r="D164" s="69">
        <f t="shared" si="4"/>
        <v>10.728333333333339</v>
      </c>
      <c r="E164" s="87">
        <f t="shared" si="5"/>
        <v>0.30853664381920165</v>
      </c>
    </row>
    <row r="165" spans="1:5" ht="34" customHeight="1" x14ac:dyDescent="0.25">
      <c r="A165" s="94" t="s">
        <v>172</v>
      </c>
      <c r="B165" s="97">
        <v>30.75</v>
      </c>
      <c r="C165" s="97">
        <f>'Master Item List'!M166</f>
        <v>23.428333333333331</v>
      </c>
      <c r="D165" s="69">
        <f t="shared" si="4"/>
        <v>7.321666666666669</v>
      </c>
      <c r="E165" s="87">
        <f t="shared" si="5"/>
        <v>0.31251333855018865</v>
      </c>
    </row>
    <row r="166" spans="1:5" ht="34" customHeight="1" x14ac:dyDescent="0.25">
      <c r="A166" s="94" t="s">
        <v>173</v>
      </c>
      <c r="B166" s="97">
        <v>30.75</v>
      </c>
      <c r="C166" s="97">
        <f>'Master Item List'!M167</f>
        <v>21.108333333333331</v>
      </c>
      <c r="D166" s="69">
        <f t="shared" si="4"/>
        <v>9.6416666666666693</v>
      </c>
      <c r="E166" s="87">
        <f t="shared" si="5"/>
        <v>0.45677062771417309</v>
      </c>
    </row>
    <row r="167" spans="1:5" ht="34" customHeight="1" x14ac:dyDescent="0.25">
      <c r="A167" s="94" t="s">
        <v>360</v>
      </c>
      <c r="B167" s="97">
        <v>18.25</v>
      </c>
      <c r="C167" s="97">
        <f>'Master Item List'!M168</f>
        <v>11.781666666666666</v>
      </c>
      <c r="D167" s="69">
        <f t="shared" si="4"/>
        <v>6.4683333333333337</v>
      </c>
      <c r="E167" s="87">
        <f t="shared" si="5"/>
        <v>0.54901683406422408</v>
      </c>
    </row>
    <row r="168" spans="1:5" ht="34" customHeight="1" x14ac:dyDescent="0.25">
      <c r="A168" s="94"/>
      <c r="B168" s="97"/>
      <c r="C168" s="97">
        <f>'Master Item List'!M169</f>
        <v>0</v>
      </c>
      <c r="D168" s="69">
        <f t="shared" si="4"/>
        <v>0</v>
      </c>
      <c r="E168" s="87" t="e">
        <f t="shared" si="5"/>
        <v>#DIV/0!</v>
      </c>
    </row>
    <row r="169" spans="1:5" ht="34" customHeight="1" x14ac:dyDescent="0.25">
      <c r="A169" s="96" t="s">
        <v>555</v>
      </c>
      <c r="B169" s="97"/>
      <c r="C169" s="97">
        <f>'Master Item List'!M170</f>
        <v>0</v>
      </c>
      <c r="D169" s="69">
        <f t="shared" si="4"/>
        <v>0</v>
      </c>
      <c r="E169" s="87" t="e">
        <f t="shared" si="5"/>
        <v>#DIV/0!</v>
      </c>
    </row>
    <row r="170" spans="1:5" ht="34" customHeight="1" x14ac:dyDescent="0.25">
      <c r="A170" s="94" t="s">
        <v>1209</v>
      </c>
      <c r="B170" s="97">
        <v>32.25</v>
      </c>
      <c r="C170" s="97">
        <f>'Master Item List'!M171</f>
        <v>22.074137931034482</v>
      </c>
      <c r="D170" s="69">
        <f t="shared" si="4"/>
        <v>10.175862068965518</v>
      </c>
      <c r="E170" s="87">
        <f t="shared" si="5"/>
        <v>0.460985706475045</v>
      </c>
    </row>
    <row r="171" spans="1:5" ht="34" customHeight="1" x14ac:dyDescent="0.25">
      <c r="A171" s="94" t="s">
        <v>1239</v>
      </c>
      <c r="B171" s="97">
        <v>48.25</v>
      </c>
      <c r="C171" s="97">
        <f>'Master Item List'!M172</f>
        <v>22.074137931034482</v>
      </c>
      <c r="D171" s="69">
        <f t="shared" si="4"/>
        <v>26.175862068965518</v>
      </c>
      <c r="E171" s="87">
        <f t="shared" si="5"/>
        <v>1.1858158244161525</v>
      </c>
    </row>
    <row r="172" spans="1:5" ht="34" customHeight="1" x14ac:dyDescent="0.25">
      <c r="A172" s="94" t="s">
        <v>1208</v>
      </c>
      <c r="B172" s="97">
        <v>29.25</v>
      </c>
      <c r="C172" s="97">
        <f>'Master Item List'!M173</f>
        <v>19.752709359605909</v>
      </c>
      <c r="D172" s="69">
        <f t="shared" si="4"/>
        <v>9.4972906403940911</v>
      </c>
      <c r="E172" s="87">
        <f t="shared" si="5"/>
        <v>0.48080951668412408</v>
      </c>
    </row>
    <row r="173" spans="1:5" ht="34" customHeight="1" x14ac:dyDescent="0.25">
      <c r="A173" s="94" t="s">
        <v>1240</v>
      </c>
      <c r="B173" s="97">
        <v>45.25</v>
      </c>
      <c r="C173" s="97">
        <f>'Master Item List'!M174</f>
        <v>19.752709359605909</v>
      </c>
      <c r="D173" s="69">
        <f t="shared" si="4"/>
        <v>25.497290640394091</v>
      </c>
      <c r="E173" s="87">
        <f t="shared" si="5"/>
        <v>1.2908249788019355</v>
      </c>
    </row>
    <row r="174" spans="1:5" ht="34" customHeight="1" x14ac:dyDescent="0.25">
      <c r="A174" s="94" t="s">
        <v>1207</v>
      </c>
      <c r="B174" s="97">
        <v>32.25</v>
      </c>
      <c r="C174" s="97">
        <f>'Master Item List'!M175</f>
        <v>25.08495210727969</v>
      </c>
      <c r="D174" s="69">
        <f t="shared" si="4"/>
        <v>7.1650478927203096</v>
      </c>
      <c r="E174" s="87">
        <f t="shared" si="5"/>
        <v>0.2856313164194163</v>
      </c>
    </row>
    <row r="175" spans="1:5" ht="34" hidden="1" customHeight="1" x14ac:dyDescent="0.25">
      <c r="A175" s="94" t="s">
        <v>498</v>
      </c>
      <c r="B175" s="97">
        <v>39.25</v>
      </c>
      <c r="C175" s="97">
        <f>'Master Item List'!M176</f>
        <v>31.854310344827589</v>
      </c>
      <c r="D175" s="69">
        <f t="shared" si="4"/>
        <v>7.3956896551724114</v>
      </c>
      <c r="E175" s="87">
        <f t="shared" si="5"/>
        <v>0.23217233633731149</v>
      </c>
    </row>
    <row r="176" spans="1:5" ht="34" customHeight="1" x14ac:dyDescent="0.25">
      <c r="A176" s="94" t="s">
        <v>497</v>
      </c>
      <c r="B176" s="97">
        <v>28.25</v>
      </c>
      <c r="C176" s="97">
        <f>'Master Item List'!M177</f>
        <v>20.414655172413795</v>
      </c>
      <c r="D176" s="69">
        <f t="shared" si="4"/>
        <v>7.835344827586205</v>
      </c>
      <c r="E176" s="87">
        <f t="shared" si="5"/>
        <v>0.3838098053291667</v>
      </c>
    </row>
    <row r="177" spans="1:5" ht="34" customHeight="1" x14ac:dyDescent="0.25">
      <c r="A177" s="94" t="s">
        <v>1206</v>
      </c>
      <c r="B177" s="97">
        <v>31.5</v>
      </c>
      <c r="C177" s="97">
        <f>'Master Item List'!M178</f>
        <v>21.276724137931033</v>
      </c>
      <c r="D177" s="69">
        <f t="shared" si="4"/>
        <v>10.223275862068967</v>
      </c>
      <c r="E177" s="87">
        <f t="shared" si="5"/>
        <v>0.48049106600218799</v>
      </c>
    </row>
    <row r="178" spans="1:5" ht="34" customHeight="1" x14ac:dyDescent="0.25">
      <c r="A178" s="94" t="s">
        <v>496</v>
      </c>
      <c r="B178" s="97">
        <v>32.5</v>
      </c>
      <c r="C178" s="97">
        <f>'Master Item List'!M179</f>
        <v>25.819827586206898</v>
      </c>
      <c r="D178" s="69">
        <f t="shared" si="4"/>
        <v>6.6801724137931018</v>
      </c>
      <c r="E178" s="87">
        <f t="shared" si="5"/>
        <v>0.25872258021435002</v>
      </c>
    </row>
    <row r="179" spans="1:5" ht="34" customHeight="1" x14ac:dyDescent="0.25">
      <c r="A179" s="94" t="s">
        <v>495</v>
      </c>
      <c r="B179" s="97">
        <v>25.25</v>
      </c>
      <c r="C179" s="97">
        <f>'Master Item List'!M180</f>
        <v>17.397413793103446</v>
      </c>
      <c r="D179" s="69">
        <f t="shared" si="4"/>
        <v>7.8525862068965537</v>
      </c>
      <c r="E179" s="87">
        <f t="shared" si="5"/>
        <v>0.45136514543382406</v>
      </c>
    </row>
    <row r="180" spans="1:5" ht="34" customHeight="1" x14ac:dyDescent="0.25">
      <c r="A180" s="94" t="s">
        <v>1210</v>
      </c>
      <c r="B180" s="97">
        <v>29.25</v>
      </c>
      <c r="C180" s="97">
        <f>'Master Item List'!M181</f>
        <v>21.327610153256703</v>
      </c>
      <c r="D180" s="69">
        <f t="shared" si="4"/>
        <v>7.9223898467432967</v>
      </c>
      <c r="E180" s="87">
        <f t="shared" si="5"/>
        <v>0.37146167760073934</v>
      </c>
    </row>
    <row r="181" spans="1:5" ht="34" customHeight="1" x14ac:dyDescent="0.25">
      <c r="A181" s="94" t="s">
        <v>1241</v>
      </c>
      <c r="B181" s="97">
        <f>B180+16</f>
        <v>45.25</v>
      </c>
      <c r="C181" s="97">
        <f>'Master Item List'!M182</f>
        <v>21.327610153256703</v>
      </c>
      <c r="D181" s="69">
        <f t="shared" si="4"/>
        <v>23.922389846743297</v>
      </c>
      <c r="E181" s="87">
        <f t="shared" si="5"/>
        <v>1.1216629371430242</v>
      </c>
    </row>
    <row r="182" spans="1:5" ht="34" customHeight="1" x14ac:dyDescent="0.25">
      <c r="A182" s="94" t="s">
        <v>1168</v>
      </c>
      <c r="B182" s="97">
        <v>45.5</v>
      </c>
      <c r="C182" s="97">
        <f>'Master Item List'!M183</f>
        <v>24.396875000000001</v>
      </c>
      <c r="D182" s="69">
        <f t="shared" si="4"/>
        <v>21.103124999999999</v>
      </c>
      <c r="E182" s="87">
        <f t="shared" si="5"/>
        <v>0.86499295504034834</v>
      </c>
    </row>
    <row r="183" spans="1:5" ht="34" customHeight="1" x14ac:dyDescent="0.25">
      <c r="A183" s="94" t="s">
        <v>1242</v>
      </c>
      <c r="B183" s="97">
        <f>B182+16</f>
        <v>61.5</v>
      </c>
      <c r="C183" s="97">
        <f>'Master Item List'!M184</f>
        <v>24.396875000000001</v>
      </c>
      <c r="D183" s="69">
        <f t="shared" si="4"/>
        <v>37.103124999999999</v>
      </c>
      <c r="E183" s="87">
        <f t="shared" si="5"/>
        <v>1.5208146535160751</v>
      </c>
    </row>
    <row r="184" spans="1:5" ht="34" customHeight="1" x14ac:dyDescent="0.25">
      <c r="A184" s="94" t="s">
        <v>499</v>
      </c>
      <c r="B184" s="97">
        <v>48.25</v>
      </c>
      <c r="C184" s="97">
        <f>'Master Item List'!M185</f>
        <v>37.195588235294117</v>
      </c>
      <c r="D184" s="69">
        <f t="shared" si="4"/>
        <v>11.054411764705883</v>
      </c>
      <c r="E184" s="87">
        <f t="shared" si="5"/>
        <v>0.29719685288419723</v>
      </c>
    </row>
    <row r="185" spans="1:5" ht="34" customHeight="1" x14ac:dyDescent="0.25">
      <c r="A185" s="94" t="s">
        <v>1244</v>
      </c>
      <c r="B185" s="97">
        <f>B184+16</f>
        <v>64.25</v>
      </c>
      <c r="C185" s="97">
        <f>'Master Item List'!M186</f>
        <v>37.195588235294117</v>
      </c>
      <c r="D185" s="69">
        <f t="shared" si="4"/>
        <v>27.054411764705883</v>
      </c>
      <c r="E185" s="87">
        <f t="shared" si="5"/>
        <v>0.72735539477325739</v>
      </c>
    </row>
    <row r="186" spans="1:5" ht="34" customHeight="1" x14ac:dyDescent="0.25">
      <c r="A186" s="94" t="s">
        <v>500</v>
      </c>
      <c r="B186" s="97">
        <v>38.5</v>
      </c>
      <c r="C186" s="97">
        <f>'Master Item List'!M187</f>
        <v>27.891666666666666</v>
      </c>
      <c r="D186" s="69">
        <f t="shared" si="4"/>
        <v>10.608333333333334</v>
      </c>
      <c r="E186" s="87">
        <f t="shared" si="5"/>
        <v>0.38034060352554533</v>
      </c>
    </row>
    <row r="187" spans="1:5" ht="34" customHeight="1" x14ac:dyDescent="0.25">
      <c r="A187" s="94" t="s">
        <v>501</v>
      </c>
      <c r="B187" s="97">
        <v>30.5</v>
      </c>
      <c r="C187" s="97">
        <f>'Master Item List'!M188</f>
        <v>18.433333333333334</v>
      </c>
      <c r="D187" s="69">
        <f t="shared" si="4"/>
        <v>12.066666666666666</v>
      </c>
      <c r="E187" s="87">
        <f t="shared" si="5"/>
        <v>0.65461121157323687</v>
      </c>
    </row>
    <row r="188" spans="1:5" ht="34" customHeight="1" x14ac:dyDescent="0.25">
      <c r="A188" s="94" t="s">
        <v>1243</v>
      </c>
      <c r="B188" s="97">
        <v>46.5</v>
      </c>
      <c r="C188" s="97">
        <f>'Master Item List'!M189</f>
        <v>18.433333333333334</v>
      </c>
      <c r="D188" s="69">
        <f t="shared" si="4"/>
        <v>28.066666666666666</v>
      </c>
      <c r="E188" s="87">
        <f t="shared" si="5"/>
        <v>1.5226039783001808</v>
      </c>
    </row>
    <row r="189" spans="1:5" ht="34" customHeight="1" x14ac:dyDescent="0.25">
      <c r="A189" s="94" t="s">
        <v>459</v>
      </c>
      <c r="B189" s="97">
        <v>33.5</v>
      </c>
      <c r="C189" s="97">
        <f>'Master Item List'!M190</f>
        <v>22.530555555555559</v>
      </c>
      <c r="D189" s="69">
        <f t="shared" si="4"/>
        <v>10.969444444444441</v>
      </c>
      <c r="E189" s="87">
        <f t="shared" si="5"/>
        <v>0.48686968314634427</v>
      </c>
    </row>
    <row r="190" spans="1:5" ht="34" customHeight="1" x14ac:dyDescent="0.25">
      <c r="A190" s="94" t="s">
        <v>507</v>
      </c>
      <c r="B190" s="97">
        <v>34.75</v>
      </c>
      <c r="C190" s="97">
        <f>'Master Item List'!M191</f>
        <v>23.705555555555556</v>
      </c>
      <c r="D190" s="69">
        <f t="shared" si="4"/>
        <v>11.044444444444444</v>
      </c>
      <c r="E190" s="87">
        <f t="shared" si="5"/>
        <v>0.46590110147644714</v>
      </c>
    </row>
    <row r="191" spans="1:5" ht="34" customHeight="1" x14ac:dyDescent="0.25">
      <c r="A191" s="94" t="s">
        <v>1214</v>
      </c>
      <c r="B191" s="97">
        <v>66.5</v>
      </c>
      <c r="C191" s="97">
        <f>'Master Item List'!M192</f>
        <v>55.725000000000001</v>
      </c>
      <c r="D191" s="69">
        <f t="shared" si="4"/>
        <v>10.774999999999999</v>
      </c>
      <c r="E191" s="87">
        <f t="shared" si="5"/>
        <v>0.19336025123373707</v>
      </c>
    </row>
    <row r="192" spans="1:5" ht="34" customHeight="1" x14ac:dyDescent="0.25">
      <c r="A192" s="94" t="s">
        <v>508</v>
      </c>
      <c r="B192" s="97">
        <v>55.75</v>
      </c>
      <c r="C192" s="97">
        <f>'Master Item List'!M193</f>
        <v>45.19166666666667</v>
      </c>
      <c r="D192" s="69">
        <f t="shared" si="4"/>
        <v>10.55833333333333</v>
      </c>
      <c r="E192" s="87">
        <f t="shared" si="5"/>
        <v>0.23363451963857634</v>
      </c>
    </row>
    <row r="193" spans="1:5" ht="34" customHeight="1" x14ac:dyDescent="0.25">
      <c r="A193" s="94" t="s">
        <v>509</v>
      </c>
      <c r="B193" s="97">
        <v>67.5</v>
      </c>
      <c r="C193" s="97">
        <f>'Master Item List'!M194</f>
        <v>55.725000000000001</v>
      </c>
      <c r="D193" s="69">
        <f t="shared" si="4"/>
        <v>11.774999999999999</v>
      </c>
      <c r="E193" s="87">
        <f t="shared" si="5"/>
        <v>0.21130551816958273</v>
      </c>
    </row>
    <row r="194" spans="1:5" ht="34" customHeight="1" x14ac:dyDescent="0.25">
      <c r="A194" s="94" t="s">
        <v>1212</v>
      </c>
      <c r="B194" s="97">
        <v>33.25</v>
      </c>
      <c r="C194" s="97">
        <f>'Master Item List'!M195</f>
        <v>21.790538194444444</v>
      </c>
      <c r="D194" s="69">
        <f t="shared" ref="D194:D257" si="6">B194-C194</f>
        <v>11.459461805555556</v>
      </c>
      <c r="E194" s="87">
        <f t="shared" ref="E194:E257" si="7">D194/C194</f>
        <v>0.52589163715456899</v>
      </c>
    </row>
    <row r="195" spans="1:5" ht="34" customHeight="1" x14ac:dyDescent="0.25">
      <c r="A195" s="94" t="s">
        <v>1246</v>
      </c>
      <c r="B195" s="97">
        <v>49.25</v>
      </c>
      <c r="C195" s="97">
        <f>'Master Item List'!M196</f>
        <v>21.790538194444444</v>
      </c>
      <c r="D195" s="69">
        <f t="shared" si="6"/>
        <v>27.459461805555556</v>
      </c>
      <c r="E195" s="87">
        <f t="shared" si="7"/>
        <v>1.2601552821011286</v>
      </c>
    </row>
    <row r="196" spans="1:5" ht="34" customHeight="1" x14ac:dyDescent="0.25">
      <c r="A196" s="94" t="s">
        <v>1211</v>
      </c>
      <c r="B196" s="97">
        <v>31.75</v>
      </c>
      <c r="C196" s="97">
        <f>'Master Item List'!M197</f>
        <v>20.794444444444444</v>
      </c>
      <c r="D196" s="69">
        <f t="shared" si="6"/>
        <v>10.955555555555556</v>
      </c>
      <c r="E196" s="87">
        <f t="shared" si="7"/>
        <v>0.52685012022441891</v>
      </c>
    </row>
    <row r="197" spans="1:5" ht="34" customHeight="1" x14ac:dyDescent="0.25">
      <c r="A197" s="94" t="s">
        <v>1247</v>
      </c>
      <c r="B197" s="97">
        <v>47.75</v>
      </c>
      <c r="C197" s="97">
        <f>'Master Item List'!M198</f>
        <v>20.794444444444444</v>
      </c>
      <c r="D197" s="69">
        <f t="shared" si="6"/>
        <v>26.955555555555556</v>
      </c>
      <c r="E197" s="87">
        <f t="shared" si="7"/>
        <v>1.2962864012823938</v>
      </c>
    </row>
    <row r="198" spans="1:5" ht="34" customHeight="1" x14ac:dyDescent="0.25">
      <c r="A198" s="94" t="s">
        <v>1213</v>
      </c>
      <c r="B198" s="97">
        <v>35.25</v>
      </c>
      <c r="C198" s="97">
        <f>'Master Item List'!M199</f>
        <v>22.981944444444444</v>
      </c>
      <c r="D198" s="69">
        <f t="shared" si="6"/>
        <v>12.268055555555556</v>
      </c>
      <c r="E198" s="87">
        <f t="shared" si="7"/>
        <v>0.53381277572973951</v>
      </c>
    </row>
    <row r="199" spans="1:5" ht="34" customHeight="1" x14ac:dyDescent="0.25">
      <c r="A199" s="94" t="s">
        <v>1248</v>
      </c>
      <c r="B199" s="97">
        <v>51.25</v>
      </c>
      <c r="C199" s="97">
        <f>'Master Item List'!M200</f>
        <v>22.981944444444444</v>
      </c>
      <c r="D199" s="69">
        <f t="shared" si="6"/>
        <v>28.268055555555556</v>
      </c>
      <c r="E199" s="87">
        <f t="shared" si="7"/>
        <v>1.2300114824439476</v>
      </c>
    </row>
    <row r="200" spans="1:5" ht="34" customHeight="1" x14ac:dyDescent="0.25">
      <c r="A200" s="94" t="s">
        <v>510</v>
      </c>
      <c r="B200" s="97">
        <v>29.25</v>
      </c>
      <c r="C200" s="97">
        <f>'Master Item List'!M201</f>
        <v>18.363888888888891</v>
      </c>
      <c r="D200" s="69">
        <f t="shared" si="6"/>
        <v>10.886111111111109</v>
      </c>
      <c r="E200" s="87">
        <f t="shared" si="7"/>
        <v>0.59279987898956266</v>
      </c>
    </row>
    <row r="201" spans="1:5" ht="34" customHeight="1" x14ac:dyDescent="0.25">
      <c r="A201" s="94" t="s">
        <v>1245</v>
      </c>
      <c r="B201" s="97">
        <v>45.25</v>
      </c>
      <c r="C201" s="97">
        <f>'Master Item List'!M202</f>
        <v>18.363888888888891</v>
      </c>
      <c r="D201" s="69">
        <f t="shared" si="6"/>
        <v>26.886111111111109</v>
      </c>
      <c r="E201" s="87">
        <f t="shared" si="7"/>
        <v>1.4640750264710329</v>
      </c>
    </row>
    <row r="202" spans="1:5" ht="34" customHeight="1" x14ac:dyDescent="0.25">
      <c r="A202" s="94" t="s">
        <v>583</v>
      </c>
      <c r="B202" s="97">
        <v>41.25</v>
      </c>
      <c r="C202" s="97">
        <f>'Master Item List'!M203</f>
        <v>26.00277777777778</v>
      </c>
      <c r="D202" s="69">
        <f t="shared" si="6"/>
        <v>15.24722222222222</v>
      </c>
      <c r="E202" s="87">
        <f t="shared" si="7"/>
        <v>0.58636897767332541</v>
      </c>
    </row>
    <row r="203" spans="1:5" ht="34" customHeight="1" x14ac:dyDescent="0.25">
      <c r="A203" s="94" t="s">
        <v>1017</v>
      </c>
      <c r="B203" s="97">
        <v>27.25</v>
      </c>
      <c r="C203" s="97">
        <f>'Master Item List'!M204</f>
        <v>16.611666666666665</v>
      </c>
      <c r="D203" s="69">
        <f t="shared" si="6"/>
        <v>10.638333333333335</v>
      </c>
      <c r="E203" s="87">
        <f t="shared" si="7"/>
        <v>0.64041336410153527</v>
      </c>
    </row>
    <row r="204" spans="1:5" ht="34" customHeight="1" x14ac:dyDescent="0.25">
      <c r="A204" s="94" t="s">
        <v>1278</v>
      </c>
      <c r="B204" s="97">
        <v>43.25</v>
      </c>
      <c r="C204" s="97">
        <f>'Master Item List'!M205</f>
        <v>16.611666666666665</v>
      </c>
      <c r="D204" s="69">
        <f t="shared" si="6"/>
        <v>26.638333333333335</v>
      </c>
      <c r="E204" s="87">
        <f t="shared" si="7"/>
        <v>1.6035918531152809</v>
      </c>
    </row>
    <row r="205" spans="1:5" ht="34" customHeight="1" x14ac:dyDescent="0.25">
      <c r="A205" s="94" t="s">
        <v>1215</v>
      </c>
      <c r="B205" s="97">
        <v>35.25</v>
      </c>
      <c r="C205" s="97">
        <f>'Master Item List'!M206</f>
        <v>24.088333333333331</v>
      </c>
      <c r="D205" s="69">
        <f t="shared" si="6"/>
        <v>11.161666666666669</v>
      </c>
      <c r="E205" s="87">
        <f t="shared" si="7"/>
        <v>0.46336400747249717</v>
      </c>
    </row>
    <row r="206" spans="1:5" ht="34" customHeight="1" x14ac:dyDescent="0.25">
      <c r="A206" s="94" t="s">
        <v>1216</v>
      </c>
      <c r="B206" s="97">
        <v>33.5</v>
      </c>
      <c r="C206" s="97">
        <f>'Master Item List'!M207</f>
        <v>22.728555555555559</v>
      </c>
      <c r="D206" s="69">
        <f t="shared" si="6"/>
        <v>10.771444444444441</v>
      </c>
      <c r="E206" s="87">
        <f t="shared" si="7"/>
        <v>0.47391680558475124</v>
      </c>
    </row>
    <row r="207" spans="1:5" ht="34" customHeight="1" x14ac:dyDescent="0.25">
      <c r="A207" s="94" t="s">
        <v>1143</v>
      </c>
      <c r="B207" s="97">
        <v>33.25</v>
      </c>
      <c r="C207" s="97">
        <f>'Master Item List'!M208</f>
        <v>19.411166666666666</v>
      </c>
      <c r="D207" s="69">
        <f t="shared" si="6"/>
        <v>13.838833333333334</v>
      </c>
      <c r="E207" s="87">
        <f t="shared" si="7"/>
        <v>0.71293156001270752</v>
      </c>
    </row>
    <row r="208" spans="1:5" ht="34" customHeight="1" x14ac:dyDescent="0.25">
      <c r="A208" s="94" t="s">
        <v>1217</v>
      </c>
      <c r="B208" s="97">
        <v>33.25</v>
      </c>
      <c r="C208" s="97">
        <f>'Master Item List'!M209</f>
        <v>23.853888888888889</v>
      </c>
      <c r="D208" s="69">
        <f t="shared" si="6"/>
        <v>9.3961111111111109</v>
      </c>
      <c r="E208" s="87">
        <f t="shared" si="7"/>
        <v>0.39390269464564359</v>
      </c>
    </row>
    <row r="209" spans="1:5" ht="34" customHeight="1" x14ac:dyDescent="0.25">
      <c r="A209" s="94" t="s">
        <v>63</v>
      </c>
      <c r="B209" s="97">
        <v>31.25</v>
      </c>
      <c r="C209" s="97">
        <f>'Master Item List'!M210</f>
        <v>20.654411764705884</v>
      </c>
      <c r="D209" s="69">
        <f t="shared" si="6"/>
        <v>10.595588235294116</v>
      </c>
      <c r="E209" s="87">
        <f t="shared" si="7"/>
        <v>0.51299394802420784</v>
      </c>
    </row>
    <row r="210" spans="1:5" ht="34" customHeight="1" x14ac:dyDescent="0.25">
      <c r="A210" s="94" t="s">
        <v>67</v>
      </c>
      <c r="B210" s="97">
        <v>22</v>
      </c>
      <c r="C210" s="97">
        <f>'Master Item List'!M211</f>
        <v>16.584375000000001</v>
      </c>
      <c r="D210" s="69">
        <f t="shared" si="6"/>
        <v>5.4156249999999986</v>
      </c>
      <c r="E210" s="87">
        <f t="shared" si="7"/>
        <v>0.32654983983418118</v>
      </c>
    </row>
    <row r="211" spans="1:5" ht="34" customHeight="1" x14ac:dyDescent="0.25">
      <c r="A211" s="94" t="s">
        <v>1249</v>
      </c>
      <c r="B211" s="97">
        <v>38</v>
      </c>
      <c r="C211" s="97">
        <f>'Master Item List'!M212</f>
        <v>16.584375000000001</v>
      </c>
      <c r="D211" s="69">
        <f t="shared" si="6"/>
        <v>21.415624999999999</v>
      </c>
      <c r="E211" s="87">
        <f t="shared" si="7"/>
        <v>1.2913133597135857</v>
      </c>
    </row>
    <row r="212" spans="1:5" ht="34" customHeight="1" x14ac:dyDescent="0.25">
      <c r="A212" s="94" t="s">
        <v>1218</v>
      </c>
      <c r="B212" s="97">
        <v>29.75</v>
      </c>
      <c r="C212" s="97">
        <f>'Master Item List'!M213</f>
        <v>19.544444444444444</v>
      </c>
      <c r="D212" s="69">
        <f t="shared" si="6"/>
        <v>10.205555555555556</v>
      </c>
      <c r="E212" s="87">
        <f t="shared" si="7"/>
        <v>0.52217168845935191</v>
      </c>
    </row>
    <row r="213" spans="1:5" ht="34" customHeight="1" x14ac:dyDescent="0.25">
      <c r="A213" s="94" t="s">
        <v>1250</v>
      </c>
      <c r="B213" s="97">
        <v>45.75</v>
      </c>
      <c r="C213" s="97">
        <f>'Master Item List'!M214</f>
        <v>19.544444444444444</v>
      </c>
      <c r="D213" s="69">
        <f t="shared" si="6"/>
        <v>26.205555555555556</v>
      </c>
      <c r="E213" s="87">
        <f t="shared" si="7"/>
        <v>1.3408186469584991</v>
      </c>
    </row>
    <row r="214" spans="1:5" ht="34" customHeight="1" x14ac:dyDescent="0.25">
      <c r="A214" s="94" t="s">
        <v>1219</v>
      </c>
      <c r="B214" s="97">
        <v>29.75</v>
      </c>
      <c r="C214" s="97">
        <f>'Master Item List'!M215</f>
        <v>18.403571428571428</v>
      </c>
      <c r="D214" s="69">
        <f t="shared" si="6"/>
        <v>11.346428571428572</v>
      </c>
      <c r="E214" s="87">
        <f t="shared" si="7"/>
        <v>0.61653405783039006</v>
      </c>
    </row>
    <row r="215" spans="1:5" ht="34" customHeight="1" x14ac:dyDescent="0.25">
      <c r="A215" s="94" t="s">
        <v>1251</v>
      </c>
      <c r="B215" s="97">
        <v>45.75</v>
      </c>
      <c r="C215" s="97">
        <f>'Master Item List'!M216</f>
        <v>18.403571428571428</v>
      </c>
      <c r="D215" s="69">
        <f t="shared" si="6"/>
        <v>27.346428571428572</v>
      </c>
      <c r="E215" s="87">
        <f t="shared" si="7"/>
        <v>1.4859305259072386</v>
      </c>
    </row>
    <row r="216" spans="1:5" ht="34" customHeight="1" x14ac:dyDescent="0.25">
      <c r="A216" s="94" t="s">
        <v>519</v>
      </c>
      <c r="B216" s="97">
        <v>27.5</v>
      </c>
      <c r="C216" s="97">
        <f>'Master Item List'!M217</f>
        <v>16.584375000000001</v>
      </c>
      <c r="D216" s="69">
        <f t="shared" si="6"/>
        <v>10.915624999999999</v>
      </c>
      <c r="E216" s="87">
        <f t="shared" si="7"/>
        <v>0.6581872997927265</v>
      </c>
    </row>
    <row r="217" spans="1:5" ht="34" customHeight="1" x14ac:dyDescent="0.25">
      <c r="A217" s="94" t="s">
        <v>520</v>
      </c>
      <c r="B217" s="97">
        <v>43.5</v>
      </c>
      <c r="C217" s="97">
        <f>'Master Item List'!M218</f>
        <v>16.584375000000001</v>
      </c>
      <c r="D217" s="69">
        <f t="shared" si="6"/>
        <v>26.915624999999999</v>
      </c>
      <c r="E217" s="87">
        <f t="shared" si="7"/>
        <v>1.622950819672131</v>
      </c>
    </row>
    <row r="218" spans="1:5" ht="34" customHeight="1" x14ac:dyDescent="0.25">
      <c r="A218" s="94" t="s">
        <v>1220</v>
      </c>
      <c r="B218" s="97">
        <v>32.25</v>
      </c>
      <c r="C218" s="97">
        <f>'Master Item List'!M219</f>
        <v>21.975000000000001</v>
      </c>
      <c r="D218" s="69">
        <f t="shared" si="6"/>
        <v>10.274999999999999</v>
      </c>
      <c r="E218" s="87">
        <f t="shared" si="7"/>
        <v>0.46757679180887363</v>
      </c>
    </row>
    <row r="219" spans="1:5" ht="34" customHeight="1" x14ac:dyDescent="0.25">
      <c r="A219" s="94" t="s">
        <v>1252</v>
      </c>
      <c r="B219" s="97">
        <v>48.25</v>
      </c>
      <c r="C219" s="97">
        <f>'Master Item List'!M220</f>
        <v>21.975000000000001</v>
      </c>
      <c r="D219" s="69">
        <f t="shared" si="6"/>
        <v>26.274999999999999</v>
      </c>
      <c r="E219" s="87">
        <f t="shared" si="7"/>
        <v>1.1956769055745164</v>
      </c>
    </row>
    <row r="220" spans="1:5" ht="34" customHeight="1" x14ac:dyDescent="0.25">
      <c r="A220" s="94" t="s">
        <v>1221</v>
      </c>
      <c r="B220" s="97">
        <v>29.25</v>
      </c>
      <c r="C220" s="97">
        <f>'Master Item List'!M221</f>
        <v>19.927586206896553</v>
      </c>
      <c r="D220" s="69">
        <f t="shared" si="6"/>
        <v>9.322413793103447</v>
      </c>
      <c r="E220" s="87">
        <f t="shared" si="7"/>
        <v>0.46781450077868136</v>
      </c>
    </row>
    <row r="221" spans="1:5" ht="34" customHeight="1" x14ac:dyDescent="0.25">
      <c r="A221" s="94" t="s">
        <v>1254</v>
      </c>
      <c r="B221" s="97">
        <v>45.25</v>
      </c>
      <c r="C221" s="97">
        <f>'Master Item List'!M222</f>
        <v>19.927586206896553</v>
      </c>
      <c r="D221" s="69">
        <f t="shared" si="6"/>
        <v>25.322413793103447</v>
      </c>
      <c r="E221" s="87">
        <f t="shared" si="7"/>
        <v>1.2707215781277037</v>
      </c>
    </row>
    <row r="222" spans="1:5" ht="34" customHeight="1" x14ac:dyDescent="0.25">
      <c r="A222" s="94" t="s">
        <v>517</v>
      </c>
      <c r="B222" s="97">
        <v>44.25</v>
      </c>
      <c r="C222" s="97">
        <f>'Master Item List'!M223</f>
        <v>33.725000000000001</v>
      </c>
      <c r="D222" s="69">
        <f t="shared" si="6"/>
        <v>10.524999999999999</v>
      </c>
      <c r="E222" s="87">
        <f t="shared" si="7"/>
        <v>0.31208302446256481</v>
      </c>
    </row>
    <row r="223" spans="1:5" ht="34" customHeight="1" x14ac:dyDescent="0.25">
      <c r="A223" s="94" t="s">
        <v>516</v>
      </c>
      <c r="B223" s="97">
        <v>31.75</v>
      </c>
      <c r="C223" s="97">
        <f>'Master Item List'!M224</f>
        <v>21.35</v>
      </c>
      <c r="D223" s="69">
        <f t="shared" si="6"/>
        <v>10.399999999999999</v>
      </c>
      <c r="E223" s="87">
        <f t="shared" si="7"/>
        <v>0.48711943793910994</v>
      </c>
    </row>
    <row r="224" spans="1:5" ht="34" customHeight="1" x14ac:dyDescent="0.25">
      <c r="A224" s="94" t="s">
        <v>518</v>
      </c>
      <c r="B224" s="97">
        <v>47.75</v>
      </c>
      <c r="C224" s="97">
        <f>'Master Item List'!M225</f>
        <v>21.35</v>
      </c>
      <c r="D224" s="69">
        <f t="shared" si="6"/>
        <v>26.4</v>
      </c>
      <c r="E224" s="87">
        <f t="shared" si="7"/>
        <v>1.2365339578454331</v>
      </c>
    </row>
    <row r="225" spans="1:5" ht="34" customHeight="1" x14ac:dyDescent="0.25">
      <c r="A225" s="94" t="s">
        <v>1222</v>
      </c>
      <c r="B225" s="97">
        <v>35.25</v>
      </c>
      <c r="C225" s="97">
        <f>'Master Item List'!M226</f>
        <v>24.162500000000001</v>
      </c>
      <c r="D225" s="69">
        <f t="shared" si="6"/>
        <v>11.087499999999999</v>
      </c>
      <c r="E225" s="87">
        <f t="shared" si="7"/>
        <v>0.45887221934816341</v>
      </c>
    </row>
    <row r="226" spans="1:5" ht="34" customHeight="1" x14ac:dyDescent="0.25">
      <c r="A226" s="94" t="s">
        <v>1255</v>
      </c>
      <c r="B226" s="97">
        <v>51.25</v>
      </c>
      <c r="C226" s="97">
        <f>'Master Item List'!M227</f>
        <v>24.162500000000001</v>
      </c>
      <c r="D226" s="69">
        <f t="shared" si="6"/>
        <v>27.087499999999999</v>
      </c>
      <c r="E226" s="87">
        <f t="shared" si="7"/>
        <v>1.1210553543714432</v>
      </c>
    </row>
    <row r="227" spans="1:5" ht="34" customHeight="1" x14ac:dyDescent="0.25">
      <c r="A227" s="94" t="s">
        <v>1223</v>
      </c>
      <c r="B227" s="97">
        <v>35.25</v>
      </c>
      <c r="C227" s="97">
        <f>'Master Item List'!M228</f>
        <v>24.221093750000001</v>
      </c>
      <c r="D227" s="69">
        <f t="shared" si="6"/>
        <v>11.028906249999999</v>
      </c>
      <c r="E227" s="87">
        <f t="shared" si="7"/>
        <v>0.45534303131954962</v>
      </c>
    </row>
    <row r="228" spans="1:5" ht="34" customHeight="1" x14ac:dyDescent="0.25">
      <c r="A228" s="94" t="s">
        <v>1258</v>
      </c>
      <c r="B228" s="97">
        <v>51.25</v>
      </c>
      <c r="C228" s="97">
        <f>'Master Item List'!M229</f>
        <v>24.221093750000001</v>
      </c>
      <c r="D228" s="69">
        <f t="shared" si="6"/>
        <v>27.028906249999999</v>
      </c>
      <c r="E228" s="87">
        <f t="shared" si="7"/>
        <v>1.1159242653936714</v>
      </c>
    </row>
    <row r="229" spans="1:5" ht="34" customHeight="1" x14ac:dyDescent="0.25">
      <c r="A229" s="94" t="s">
        <v>521</v>
      </c>
      <c r="B229" s="97">
        <v>37.25</v>
      </c>
      <c r="C229" s="97">
        <f>'Master Item List'!M230</f>
        <v>26.183333333333337</v>
      </c>
      <c r="D229" s="69">
        <f t="shared" si="6"/>
        <v>11.066666666666663</v>
      </c>
      <c r="E229" s="87">
        <f t="shared" si="7"/>
        <v>0.42266072565245044</v>
      </c>
    </row>
    <row r="230" spans="1:5" ht="34" customHeight="1" x14ac:dyDescent="0.25">
      <c r="A230" s="94" t="s">
        <v>1044</v>
      </c>
      <c r="B230" s="97">
        <v>53.5</v>
      </c>
      <c r="C230" s="97">
        <f>'Master Item List'!M231</f>
        <v>41.641666666666673</v>
      </c>
      <c r="D230" s="69">
        <f t="shared" si="6"/>
        <v>11.858333333333327</v>
      </c>
      <c r="E230" s="87">
        <f t="shared" si="7"/>
        <v>0.28477086251751033</v>
      </c>
    </row>
    <row r="231" spans="1:5" ht="34" customHeight="1" x14ac:dyDescent="0.25">
      <c r="A231" s="94" t="s">
        <v>1256</v>
      </c>
      <c r="B231" s="97">
        <v>53.25</v>
      </c>
      <c r="C231" s="97">
        <f>'Master Item List'!M232</f>
        <v>26.183333333333337</v>
      </c>
      <c r="D231" s="69">
        <f t="shared" si="6"/>
        <v>27.066666666666663</v>
      </c>
      <c r="E231" s="87">
        <f t="shared" si="7"/>
        <v>1.0337364735837045</v>
      </c>
    </row>
    <row r="232" spans="1:5" ht="34" customHeight="1" x14ac:dyDescent="0.25">
      <c r="A232" s="94" t="s">
        <v>1158</v>
      </c>
      <c r="B232" s="97">
        <v>31.75</v>
      </c>
      <c r="C232" s="97">
        <f>'Master Item List'!M233</f>
        <v>20.209788359788359</v>
      </c>
      <c r="D232" s="69">
        <f t="shared" si="6"/>
        <v>11.540211640211641</v>
      </c>
      <c r="E232" s="87">
        <f t="shared" si="7"/>
        <v>0.57102090505674608</v>
      </c>
    </row>
    <row r="233" spans="1:5" ht="34" customHeight="1" x14ac:dyDescent="0.25">
      <c r="A233" s="94" t="s">
        <v>1257</v>
      </c>
      <c r="B233" s="97">
        <v>47.75</v>
      </c>
      <c r="C233" s="97">
        <f>'Master Item List'!M234</f>
        <v>20.209788359788359</v>
      </c>
      <c r="D233" s="69">
        <f t="shared" si="6"/>
        <v>27.540211640211641</v>
      </c>
      <c r="E233" s="87">
        <f t="shared" si="7"/>
        <v>1.3627164792585709</v>
      </c>
    </row>
    <row r="234" spans="1:5" ht="34" customHeight="1" x14ac:dyDescent="0.25">
      <c r="A234" s="94" t="s">
        <v>1224</v>
      </c>
      <c r="B234" s="97">
        <v>31.25</v>
      </c>
      <c r="C234" s="97">
        <f>'Master Item List'!M235</f>
        <v>20.123571428571431</v>
      </c>
      <c r="D234" s="69">
        <f t="shared" si="6"/>
        <v>11.126428571428569</v>
      </c>
      <c r="E234" s="87">
        <f t="shared" si="7"/>
        <v>0.55290526390515726</v>
      </c>
    </row>
    <row r="235" spans="1:5" ht="34" customHeight="1" x14ac:dyDescent="0.25">
      <c r="A235" s="94" t="s">
        <v>1259</v>
      </c>
      <c r="B235" s="97">
        <v>47.25</v>
      </c>
      <c r="C235" s="97">
        <f>'Master Item List'!M236</f>
        <v>20.123571428571431</v>
      </c>
      <c r="D235" s="69">
        <f t="shared" si="6"/>
        <v>27.126428571428569</v>
      </c>
      <c r="E235" s="87">
        <f t="shared" si="7"/>
        <v>1.3479927590245977</v>
      </c>
    </row>
    <row r="236" spans="1:5" ht="34" customHeight="1" x14ac:dyDescent="0.25">
      <c r="A236" s="94" t="s">
        <v>1225</v>
      </c>
      <c r="B236" s="97">
        <v>32.5</v>
      </c>
      <c r="C236" s="97">
        <f>'Master Item List'!M237</f>
        <v>21.578769841269843</v>
      </c>
      <c r="D236" s="69">
        <f t="shared" si="6"/>
        <v>10.921230158730157</v>
      </c>
      <c r="E236" s="87">
        <f t="shared" si="7"/>
        <v>0.50610995154334881</v>
      </c>
    </row>
    <row r="237" spans="1:5" ht="34" customHeight="1" x14ac:dyDescent="0.25">
      <c r="A237" s="94" t="s">
        <v>1260</v>
      </c>
      <c r="B237" s="97">
        <v>48.5</v>
      </c>
      <c r="C237" s="97">
        <f>'Master Item List'!M238</f>
        <v>21.578769841269843</v>
      </c>
      <c r="D237" s="69">
        <f t="shared" si="6"/>
        <v>26.921230158730157</v>
      </c>
      <c r="E237" s="87">
        <f t="shared" si="7"/>
        <v>1.2475794661493051</v>
      </c>
    </row>
    <row r="238" spans="1:5" ht="34" customHeight="1" x14ac:dyDescent="0.25">
      <c r="A238" s="94" t="s">
        <v>522</v>
      </c>
      <c r="B238" s="97">
        <v>60</v>
      </c>
      <c r="C238" s="97">
        <f>'Master Item List'!M239</f>
        <v>17.054375</v>
      </c>
      <c r="D238" s="69">
        <f t="shared" si="6"/>
        <v>42.945625</v>
      </c>
      <c r="E238" s="87">
        <f t="shared" si="7"/>
        <v>2.5181588302121889</v>
      </c>
    </row>
    <row r="239" spans="1:5" ht="34" customHeight="1" x14ac:dyDescent="0.25">
      <c r="A239" s="94" t="s">
        <v>523</v>
      </c>
      <c r="B239" s="97">
        <v>28.25</v>
      </c>
      <c r="C239" s="97">
        <f>'Master Item List'!M240</f>
        <v>17.759374999999999</v>
      </c>
      <c r="D239" s="69">
        <f t="shared" si="6"/>
        <v>10.490625000000001</v>
      </c>
      <c r="E239" s="87">
        <f t="shared" si="7"/>
        <v>0.59070913250043999</v>
      </c>
    </row>
    <row r="240" spans="1:5" ht="34" hidden="1" customHeight="1" x14ac:dyDescent="0.25">
      <c r="A240" s="94" t="s">
        <v>1045</v>
      </c>
      <c r="B240" s="97">
        <v>44.25</v>
      </c>
      <c r="C240" s="97">
        <f>'Master Item List'!M241</f>
        <v>22.91375</v>
      </c>
      <c r="D240" s="69">
        <f t="shared" si="6"/>
        <v>21.33625</v>
      </c>
      <c r="E240" s="87">
        <f t="shared" si="7"/>
        <v>0.93115487425672361</v>
      </c>
    </row>
    <row r="241" spans="1:5" ht="34" customHeight="1" x14ac:dyDescent="0.25">
      <c r="A241" s="94" t="s">
        <v>72</v>
      </c>
      <c r="B241" s="97">
        <v>38.5</v>
      </c>
      <c r="C241" s="97">
        <f>'Master Item List'!M242</f>
        <v>26.697222222222223</v>
      </c>
      <c r="D241" s="69">
        <f t="shared" si="6"/>
        <v>11.802777777777777</v>
      </c>
      <c r="E241" s="87">
        <f t="shared" si="7"/>
        <v>0.44209759650400582</v>
      </c>
    </row>
    <row r="242" spans="1:5" ht="34" customHeight="1" x14ac:dyDescent="0.25">
      <c r="A242" s="95" t="s">
        <v>73</v>
      </c>
      <c r="B242" s="97">
        <v>54.5</v>
      </c>
      <c r="C242" s="97">
        <f>'Master Item List'!M243</f>
        <v>25.522222222222222</v>
      </c>
      <c r="D242" s="69">
        <f t="shared" si="6"/>
        <v>28.977777777777778</v>
      </c>
      <c r="E242" s="87">
        <f t="shared" si="7"/>
        <v>1.1353939921636917</v>
      </c>
    </row>
    <row r="243" spans="1:5" ht="34" customHeight="1" x14ac:dyDescent="0.25">
      <c r="A243" s="94" t="s">
        <v>1226</v>
      </c>
      <c r="B243" s="97">
        <v>30.25</v>
      </c>
      <c r="C243" s="97">
        <f>'Master Item List'!M244</f>
        <v>20.412500000000001</v>
      </c>
      <c r="D243" s="69">
        <f t="shared" si="6"/>
        <v>9.8374999999999986</v>
      </c>
      <c r="E243" s="87">
        <f t="shared" si="7"/>
        <v>0.48193508879363123</v>
      </c>
    </row>
    <row r="244" spans="1:5" ht="34" customHeight="1" x14ac:dyDescent="0.25">
      <c r="A244" s="94" t="s">
        <v>1261</v>
      </c>
      <c r="B244" s="97">
        <v>46.25</v>
      </c>
      <c r="C244" s="97">
        <f>'Master Item List'!M245</f>
        <v>20.412500000000001</v>
      </c>
      <c r="D244" s="69">
        <f t="shared" si="6"/>
        <v>25.837499999999999</v>
      </c>
      <c r="E244" s="87">
        <f t="shared" si="7"/>
        <v>1.2657685241886099</v>
      </c>
    </row>
    <row r="245" spans="1:5" ht="34" customHeight="1" x14ac:dyDescent="0.25">
      <c r="A245" s="94" t="s">
        <v>539</v>
      </c>
      <c r="B245" s="97">
        <v>29.25</v>
      </c>
      <c r="C245" s="97">
        <f>'Master Item List'!M246</f>
        <v>18.850000000000001</v>
      </c>
      <c r="D245" s="69">
        <f t="shared" si="6"/>
        <v>10.399999999999999</v>
      </c>
      <c r="E245" s="87">
        <f t="shared" si="7"/>
        <v>0.55172413793103436</v>
      </c>
    </row>
    <row r="246" spans="1:5" ht="34" customHeight="1" x14ac:dyDescent="0.25">
      <c r="A246" s="94" t="s">
        <v>538</v>
      </c>
      <c r="B246" s="97">
        <v>45.25</v>
      </c>
      <c r="C246" s="97">
        <f>'Master Item List'!M247</f>
        <v>18.850000000000001</v>
      </c>
      <c r="D246" s="69">
        <f t="shared" si="6"/>
        <v>26.4</v>
      </c>
      <c r="E246" s="87">
        <f t="shared" si="7"/>
        <v>1.4005305039787797</v>
      </c>
    </row>
    <row r="247" spans="1:5" ht="34" customHeight="1" x14ac:dyDescent="0.25">
      <c r="A247" s="94" t="s">
        <v>1047</v>
      </c>
      <c r="B247" s="97">
        <v>31.75</v>
      </c>
      <c r="C247" s="97">
        <f>'Master Item List'!M248</f>
        <v>27.445</v>
      </c>
      <c r="D247" s="69">
        <f t="shared" si="6"/>
        <v>4.3049999999999997</v>
      </c>
      <c r="E247" s="87">
        <f t="shared" si="7"/>
        <v>0.15685917289123702</v>
      </c>
    </row>
    <row r="248" spans="1:5" ht="34" customHeight="1" x14ac:dyDescent="0.25">
      <c r="A248" s="94" t="s">
        <v>1018</v>
      </c>
      <c r="B248" s="97">
        <v>40.25</v>
      </c>
      <c r="C248" s="97">
        <f>'Master Item List'!M249</f>
        <v>29.475000000000001</v>
      </c>
      <c r="D248" s="69">
        <f t="shared" si="6"/>
        <v>10.774999999999999</v>
      </c>
      <c r="E248" s="87">
        <f t="shared" si="7"/>
        <v>0.36556403731976245</v>
      </c>
    </row>
    <row r="249" spans="1:5" ht="34" customHeight="1" x14ac:dyDescent="0.25">
      <c r="A249" s="94" t="s">
        <v>1277</v>
      </c>
      <c r="B249" s="97">
        <v>56.25</v>
      </c>
      <c r="C249" s="97">
        <f>'Master Item List'!M250</f>
        <v>29.475000000000001</v>
      </c>
      <c r="D249" s="69">
        <f t="shared" si="6"/>
        <v>26.774999999999999</v>
      </c>
      <c r="E249" s="87">
        <f t="shared" si="7"/>
        <v>0.90839694656488545</v>
      </c>
    </row>
    <row r="250" spans="1:5" ht="34" customHeight="1" x14ac:dyDescent="0.25">
      <c r="A250" s="94" t="s">
        <v>541</v>
      </c>
      <c r="B250" s="97">
        <v>90.25</v>
      </c>
      <c r="C250" s="97">
        <f>'Master Item List'!M251</f>
        <v>69.815909090909088</v>
      </c>
      <c r="D250" s="69">
        <f t="shared" si="6"/>
        <v>20.434090909090912</v>
      </c>
      <c r="E250" s="87">
        <f t="shared" si="7"/>
        <v>0.29268530876656146</v>
      </c>
    </row>
    <row r="251" spans="1:5" ht="34" customHeight="1" x14ac:dyDescent="0.25">
      <c r="A251" s="94" t="s">
        <v>1159</v>
      </c>
      <c r="B251" s="97">
        <v>35.75</v>
      </c>
      <c r="C251" s="97">
        <f>'Master Item List'!M252</f>
        <v>26.295290849673204</v>
      </c>
      <c r="D251" s="69">
        <f t="shared" si="6"/>
        <v>9.4547091503267957</v>
      </c>
      <c r="E251" s="87">
        <f t="shared" si="7"/>
        <v>0.35955902539272722</v>
      </c>
    </row>
    <row r="252" spans="1:5" ht="34" customHeight="1" x14ac:dyDescent="0.25">
      <c r="A252" s="94" t="s">
        <v>1020</v>
      </c>
      <c r="B252" s="97">
        <v>27</v>
      </c>
      <c r="C252" s="97">
        <f>'Master Item List'!M253</f>
        <v>16.009999999999998</v>
      </c>
      <c r="D252" s="69">
        <f t="shared" si="6"/>
        <v>10.990000000000002</v>
      </c>
      <c r="E252" s="87">
        <f t="shared" si="7"/>
        <v>0.6864459712679577</v>
      </c>
    </row>
    <row r="253" spans="1:5" ht="34" customHeight="1" x14ac:dyDescent="0.25">
      <c r="A253" s="94" t="s">
        <v>544</v>
      </c>
      <c r="B253" s="97">
        <v>33.75</v>
      </c>
      <c r="C253" s="97">
        <f>'Master Item List'!M254</f>
        <v>22.489705882352943</v>
      </c>
      <c r="D253" s="69">
        <f t="shared" si="6"/>
        <v>11.260294117647057</v>
      </c>
      <c r="E253" s="87">
        <f t="shared" si="7"/>
        <v>0.50068658863532323</v>
      </c>
    </row>
    <row r="254" spans="1:5" ht="34" customHeight="1" x14ac:dyDescent="0.25">
      <c r="A254" s="94" t="s">
        <v>543</v>
      </c>
      <c r="B254" s="97">
        <v>49.75</v>
      </c>
      <c r="C254" s="97">
        <f>'Master Item List'!M255</f>
        <v>22.489705882352943</v>
      </c>
      <c r="D254" s="69">
        <f t="shared" si="6"/>
        <v>27.260294117647057</v>
      </c>
      <c r="E254" s="87">
        <f t="shared" si="7"/>
        <v>1.212123193617995</v>
      </c>
    </row>
    <row r="255" spans="1:5" ht="34" customHeight="1" x14ac:dyDescent="0.25">
      <c r="A255" s="94" t="s">
        <v>1227</v>
      </c>
      <c r="B255" s="97">
        <v>37.25</v>
      </c>
      <c r="C255" s="97">
        <f>'Master Item List'!M256</f>
        <v>25.183055555555555</v>
      </c>
      <c r="D255" s="69">
        <f t="shared" si="6"/>
        <v>12.066944444444445</v>
      </c>
      <c r="E255" s="87">
        <f t="shared" si="7"/>
        <v>0.47916919445394285</v>
      </c>
    </row>
    <row r="256" spans="1:5" ht="34" customHeight="1" x14ac:dyDescent="0.25">
      <c r="A256" s="94" t="s">
        <v>1262</v>
      </c>
      <c r="B256" s="97">
        <v>53.75</v>
      </c>
      <c r="C256" s="97">
        <f>'Master Item List'!M257</f>
        <v>25.183055555555555</v>
      </c>
      <c r="D256" s="69">
        <f t="shared" si="6"/>
        <v>28.566944444444445</v>
      </c>
      <c r="E256" s="87">
        <f t="shared" si="7"/>
        <v>1.1343716564268302</v>
      </c>
    </row>
    <row r="257" spans="1:5" ht="34" customHeight="1" x14ac:dyDescent="0.25">
      <c r="A257" s="94" t="s">
        <v>1228</v>
      </c>
      <c r="B257" s="97">
        <v>38.25</v>
      </c>
      <c r="C257" s="97">
        <f>'Master Item List'!M258</f>
        <v>28.807555555555556</v>
      </c>
      <c r="D257" s="69">
        <f t="shared" si="6"/>
        <v>9.442444444444444</v>
      </c>
      <c r="E257" s="87">
        <f t="shared" si="7"/>
        <v>0.32777666352962953</v>
      </c>
    </row>
    <row r="258" spans="1:5" ht="34" customHeight="1" x14ac:dyDescent="0.25">
      <c r="A258" s="94" t="s">
        <v>567</v>
      </c>
      <c r="B258" s="97">
        <v>80.25</v>
      </c>
      <c r="C258" s="97">
        <f>'Master Item List'!M259</f>
        <v>68.25566666666667</v>
      </c>
      <c r="D258" s="69">
        <f t="shared" ref="D258:D321" si="8">B258-C258</f>
        <v>11.99433333333333</v>
      </c>
      <c r="E258" s="87">
        <f t="shared" ref="E258:E321" si="9">D258/C258</f>
        <v>0.17572655750194116</v>
      </c>
    </row>
    <row r="259" spans="1:5" ht="34" customHeight="1" x14ac:dyDescent="0.25">
      <c r="A259" s="94" t="s">
        <v>514</v>
      </c>
      <c r="B259" s="97">
        <v>70.25</v>
      </c>
      <c r="C259" s="97">
        <f>'Master Item List'!M260</f>
        <v>52.191666666666663</v>
      </c>
      <c r="D259" s="69">
        <f t="shared" si="8"/>
        <v>18.058333333333337</v>
      </c>
      <c r="E259" s="87">
        <f t="shared" si="9"/>
        <v>0.34600031933578168</v>
      </c>
    </row>
    <row r="260" spans="1:5" ht="34" customHeight="1" x14ac:dyDescent="0.25">
      <c r="A260" s="94" t="s">
        <v>513</v>
      </c>
      <c r="B260" s="97">
        <v>36.25</v>
      </c>
      <c r="C260" s="97">
        <f>'Master Item List'!M261</f>
        <v>30.006111111111114</v>
      </c>
      <c r="D260" s="69">
        <f t="shared" si="8"/>
        <v>6.2438888888888862</v>
      </c>
      <c r="E260" s="87">
        <f t="shared" si="9"/>
        <v>0.20808724148784496</v>
      </c>
    </row>
    <row r="261" spans="1:5" ht="34" customHeight="1" x14ac:dyDescent="0.25">
      <c r="A261" s="94" t="s">
        <v>1019</v>
      </c>
      <c r="B261" s="97">
        <v>31.25</v>
      </c>
      <c r="C261" s="97">
        <f>'Master Item List'!M262</f>
        <v>21.135000000000002</v>
      </c>
      <c r="D261" s="69">
        <f t="shared" si="8"/>
        <v>10.114999999999998</v>
      </c>
      <c r="E261" s="87">
        <f t="shared" si="9"/>
        <v>0.47859001656020805</v>
      </c>
    </row>
    <row r="262" spans="1:5" ht="34" customHeight="1" x14ac:dyDescent="0.25">
      <c r="A262" s="94" t="s">
        <v>546</v>
      </c>
      <c r="B262" s="97">
        <v>49.75</v>
      </c>
      <c r="C262" s="97">
        <f>'Master Item List'!M263</f>
        <v>38.685526315789481</v>
      </c>
      <c r="D262" s="69">
        <f t="shared" si="8"/>
        <v>11.064473684210519</v>
      </c>
      <c r="E262" s="87">
        <f t="shared" si="9"/>
        <v>0.28601067990884638</v>
      </c>
    </row>
    <row r="263" spans="1:5" ht="34" customHeight="1" x14ac:dyDescent="0.25">
      <c r="A263" s="94" t="s">
        <v>1263</v>
      </c>
      <c r="B263" s="97">
        <v>65.751999999999995</v>
      </c>
      <c r="C263" s="97">
        <f>'Master Item List'!M264</f>
        <v>38.685526315789481</v>
      </c>
      <c r="D263" s="69">
        <f t="shared" si="8"/>
        <v>27.066473684210514</v>
      </c>
      <c r="E263" s="87">
        <f t="shared" si="9"/>
        <v>0.69965375327369772</v>
      </c>
    </row>
    <row r="264" spans="1:5" ht="34" customHeight="1" x14ac:dyDescent="0.25">
      <c r="A264" s="94" t="s">
        <v>547</v>
      </c>
      <c r="B264" s="97">
        <v>57.5</v>
      </c>
      <c r="C264" s="97">
        <f>'Master Item List'!M265</f>
        <v>43.695</v>
      </c>
      <c r="D264" s="69">
        <f t="shared" si="8"/>
        <v>13.805</v>
      </c>
      <c r="E264" s="87">
        <f t="shared" si="9"/>
        <v>0.31594003890605332</v>
      </c>
    </row>
    <row r="265" spans="1:5" ht="34" customHeight="1" x14ac:dyDescent="0.25">
      <c r="A265" s="94" t="s">
        <v>1273</v>
      </c>
      <c r="B265" s="97">
        <v>49.5</v>
      </c>
      <c r="C265" s="97">
        <f>'Master Item List'!M266</f>
        <v>34.336111111111109</v>
      </c>
      <c r="D265" s="69">
        <f t="shared" si="8"/>
        <v>15.163888888888891</v>
      </c>
      <c r="E265" s="87">
        <f t="shared" si="9"/>
        <v>0.44163093600841369</v>
      </c>
    </row>
    <row r="266" spans="1:5" ht="34" customHeight="1" x14ac:dyDescent="0.25">
      <c r="A266" s="94" t="s">
        <v>1274</v>
      </c>
      <c r="B266" s="97">
        <v>65.5</v>
      </c>
      <c r="C266" s="97">
        <f>'Master Item List'!M267</f>
        <v>34.336111111111109</v>
      </c>
      <c r="D266" s="69">
        <f t="shared" si="8"/>
        <v>31.163888888888891</v>
      </c>
      <c r="E266" s="87">
        <f t="shared" si="9"/>
        <v>0.90761265269800195</v>
      </c>
    </row>
    <row r="267" spans="1:5" ht="34" customHeight="1" x14ac:dyDescent="0.25">
      <c r="A267" s="94" t="s">
        <v>1229</v>
      </c>
      <c r="B267" s="97">
        <v>40.25</v>
      </c>
      <c r="C267" s="97">
        <f>'Master Item List'!M268</f>
        <v>24.702388888888891</v>
      </c>
      <c r="D267" s="69">
        <f t="shared" si="8"/>
        <v>15.547611111111109</v>
      </c>
      <c r="E267" s="87">
        <f t="shared" si="9"/>
        <v>0.62939706686037999</v>
      </c>
    </row>
    <row r="268" spans="1:5" ht="34" customHeight="1" x14ac:dyDescent="0.25">
      <c r="A268" s="94" t="s">
        <v>1230</v>
      </c>
      <c r="B268" s="97">
        <v>35.75</v>
      </c>
      <c r="C268" s="97">
        <f>'Master Item List'!M269</f>
        <v>26.105666666666668</v>
      </c>
      <c r="D268" s="69">
        <f t="shared" si="8"/>
        <v>9.6443333333333321</v>
      </c>
      <c r="E268" s="87">
        <f t="shared" si="9"/>
        <v>0.36943447782729161</v>
      </c>
    </row>
    <row r="269" spans="1:5" ht="34" customHeight="1" x14ac:dyDescent="0.25">
      <c r="A269" s="94" t="s">
        <v>86</v>
      </c>
      <c r="B269" s="97">
        <v>36.75</v>
      </c>
      <c r="C269" s="97">
        <f>'Master Item List'!M270</f>
        <v>25.824333333333335</v>
      </c>
      <c r="D269" s="69">
        <f t="shared" si="8"/>
        <v>10.925666666666665</v>
      </c>
      <c r="E269" s="87">
        <f t="shared" si="9"/>
        <v>0.42307642662605027</v>
      </c>
    </row>
    <row r="270" spans="1:5" ht="34" customHeight="1" x14ac:dyDescent="0.25">
      <c r="A270" s="94" t="s">
        <v>1231</v>
      </c>
      <c r="B270" s="97">
        <v>32.5</v>
      </c>
      <c r="C270" s="97">
        <f>'Master Item List'!M271</f>
        <v>21.261555555555557</v>
      </c>
      <c r="D270" s="69">
        <f t="shared" si="8"/>
        <v>11.238444444444443</v>
      </c>
      <c r="E270" s="87">
        <f t="shared" si="9"/>
        <v>0.52858053659709225</v>
      </c>
    </row>
    <row r="271" spans="1:5" ht="34" customHeight="1" x14ac:dyDescent="0.25">
      <c r="A271" s="94" t="s">
        <v>1288</v>
      </c>
      <c r="B271" s="97">
        <v>48.5</v>
      </c>
      <c r="C271" s="97">
        <f>'Master Item List'!M272</f>
        <v>21.261555555555557</v>
      </c>
      <c r="D271" s="69">
        <f t="shared" si="8"/>
        <v>27.238444444444443</v>
      </c>
      <c r="E271" s="87">
        <f t="shared" si="9"/>
        <v>1.2811124930756608</v>
      </c>
    </row>
    <row r="272" spans="1:5" ht="34" customHeight="1" x14ac:dyDescent="0.25">
      <c r="A272" s="94" t="s">
        <v>1232</v>
      </c>
      <c r="B272" s="97">
        <v>35.25</v>
      </c>
      <c r="C272" s="97">
        <f>'Master Item List'!M273</f>
        <v>22.287500000000001</v>
      </c>
      <c r="D272" s="69">
        <f t="shared" si="8"/>
        <v>12.962499999999999</v>
      </c>
      <c r="E272" s="87">
        <f t="shared" si="9"/>
        <v>0.58160403813796957</v>
      </c>
    </row>
    <row r="273" spans="1:5" ht="34" customHeight="1" x14ac:dyDescent="0.25">
      <c r="A273" s="94" t="s">
        <v>1287</v>
      </c>
      <c r="B273" s="97">
        <v>51.25</v>
      </c>
      <c r="C273" s="97">
        <f>'Master Item List'!M274</f>
        <v>22.287500000000001</v>
      </c>
      <c r="D273" s="69">
        <f t="shared" si="8"/>
        <v>28.962499999999999</v>
      </c>
      <c r="E273" s="87">
        <f t="shared" si="9"/>
        <v>1.2994952327537856</v>
      </c>
    </row>
    <row r="274" spans="1:5" ht="34" customHeight="1" x14ac:dyDescent="0.25">
      <c r="A274" s="94" t="s">
        <v>1233</v>
      </c>
      <c r="B274" s="97">
        <v>32.25</v>
      </c>
      <c r="C274" s="97">
        <f>'Master Item List'!M275</f>
        <v>22.119</v>
      </c>
      <c r="D274" s="69">
        <f t="shared" si="8"/>
        <v>10.131</v>
      </c>
      <c r="E274" s="87">
        <f t="shared" si="9"/>
        <v>0.45802251458022514</v>
      </c>
    </row>
    <row r="275" spans="1:5" ht="34" customHeight="1" x14ac:dyDescent="0.25">
      <c r="A275" s="94" t="s">
        <v>1286</v>
      </c>
      <c r="B275" s="97">
        <v>48.25</v>
      </c>
      <c r="C275" s="97">
        <f>'Master Item List'!M276</f>
        <v>22.119</v>
      </c>
      <c r="D275" s="69">
        <f t="shared" si="8"/>
        <v>26.131</v>
      </c>
      <c r="E275" s="87">
        <f t="shared" si="9"/>
        <v>1.1813825218138252</v>
      </c>
    </row>
    <row r="276" spans="1:5" ht="34" customHeight="1" x14ac:dyDescent="0.25">
      <c r="A276" s="94" t="s">
        <v>1163</v>
      </c>
      <c r="B276" s="97">
        <v>30.75</v>
      </c>
      <c r="C276" s="97">
        <f>'Master Item List'!M277</f>
        <v>20.933333333333337</v>
      </c>
      <c r="D276" s="69">
        <f t="shared" si="8"/>
        <v>9.8166666666666629</v>
      </c>
      <c r="E276" s="87">
        <f t="shared" si="9"/>
        <v>0.46894904458598702</v>
      </c>
    </row>
    <row r="277" spans="1:5" ht="34" customHeight="1" x14ac:dyDescent="0.25">
      <c r="A277" s="94" t="s">
        <v>1285</v>
      </c>
      <c r="B277" s="97">
        <v>46.75</v>
      </c>
      <c r="C277" s="97">
        <f>'Master Item List'!M278</f>
        <v>20.933333333333337</v>
      </c>
      <c r="D277" s="69">
        <f t="shared" si="8"/>
        <v>25.816666666666663</v>
      </c>
      <c r="E277" s="87">
        <f t="shared" si="9"/>
        <v>1.2332802547770696</v>
      </c>
    </row>
    <row r="278" spans="1:5" ht="34" customHeight="1" x14ac:dyDescent="0.25">
      <c r="A278" s="94" t="s">
        <v>550</v>
      </c>
      <c r="B278" s="97">
        <v>30.25</v>
      </c>
      <c r="C278" s="97">
        <f>'Master Item List'!M279</f>
        <v>19.162500000000001</v>
      </c>
      <c r="D278" s="69">
        <f t="shared" si="8"/>
        <v>11.087499999999999</v>
      </c>
      <c r="E278" s="87">
        <f t="shared" si="9"/>
        <v>0.57860404435746893</v>
      </c>
    </row>
    <row r="279" spans="1:5" ht="34" customHeight="1" x14ac:dyDescent="0.25">
      <c r="A279" s="94" t="s">
        <v>551</v>
      </c>
      <c r="B279" s="97">
        <v>46.25</v>
      </c>
      <c r="C279" s="97">
        <f>'Master Item List'!M280</f>
        <v>22.6875</v>
      </c>
      <c r="D279" s="69">
        <f t="shared" si="8"/>
        <v>23.5625</v>
      </c>
      <c r="E279" s="87">
        <f t="shared" si="9"/>
        <v>1.0385674931129476</v>
      </c>
    </row>
    <row r="280" spans="1:5" ht="34" customHeight="1" x14ac:dyDescent="0.25">
      <c r="A280" s="94" t="s">
        <v>1145</v>
      </c>
      <c r="B280" s="97">
        <v>38.25</v>
      </c>
      <c r="C280" s="97">
        <f>'Master Item List'!M281</f>
        <v>26.305555555555557</v>
      </c>
      <c r="D280" s="69">
        <f t="shared" si="8"/>
        <v>11.944444444444443</v>
      </c>
      <c r="E280" s="87">
        <f t="shared" si="9"/>
        <v>0.45406546990496294</v>
      </c>
    </row>
    <row r="281" spans="1:5" ht="34" customHeight="1" x14ac:dyDescent="0.25">
      <c r="A281" s="94" t="s">
        <v>1048</v>
      </c>
      <c r="B281" s="97">
        <v>38.25</v>
      </c>
      <c r="C281" s="97">
        <f>'Master Item List'!M282</f>
        <v>10.725</v>
      </c>
      <c r="D281" s="69">
        <f t="shared" si="8"/>
        <v>27.524999999999999</v>
      </c>
      <c r="E281" s="87">
        <f t="shared" si="9"/>
        <v>2.5664335664335662</v>
      </c>
    </row>
    <row r="282" spans="1:5" ht="34" customHeight="1" x14ac:dyDescent="0.25">
      <c r="A282" s="94" t="s">
        <v>94</v>
      </c>
      <c r="B282" s="97">
        <v>35.75</v>
      </c>
      <c r="C282" s="97">
        <f>'Master Item List'!M283</f>
        <v>25.108561643835618</v>
      </c>
      <c r="D282" s="69">
        <f t="shared" si="8"/>
        <v>10.641438356164382</v>
      </c>
      <c r="E282" s="87">
        <f t="shared" si="9"/>
        <v>0.4238171229046469</v>
      </c>
    </row>
    <row r="283" spans="1:5" ht="34" customHeight="1" x14ac:dyDescent="0.25">
      <c r="A283" s="94" t="s">
        <v>425</v>
      </c>
      <c r="B283" s="97">
        <v>90.5</v>
      </c>
      <c r="C283" s="97">
        <f>'Master Item List'!M284</f>
        <v>78.780555555555551</v>
      </c>
      <c r="D283" s="69">
        <f t="shared" si="8"/>
        <v>11.719444444444449</v>
      </c>
      <c r="E283" s="87">
        <f t="shared" si="9"/>
        <v>0.1487606219808893</v>
      </c>
    </row>
    <row r="284" spans="1:5" ht="34" customHeight="1" x14ac:dyDescent="0.25">
      <c r="A284" s="94" t="s">
        <v>1138</v>
      </c>
      <c r="B284" s="97">
        <v>29.25</v>
      </c>
      <c r="C284" s="97">
        <f>'Master Item List'!M285</f>
        <v>15.4125</v>
      </c>
      <c r="D284" s="69">
        <f t="shared" si="8"/>
        <v>13.8375</v>
      </c>
      <c r="E284" s="87">
        <f t="shared" si="9"/>
        <v>0.8978102189781022</v>
      </c>
    </row>
    <row r="285" spans="1:5" ht="34" customHeight="1" x14ac:dyDescent="0.25">
      <c r="A285" s="94" t="s">
        <v>1065</v>
      </c>
      <c r="B285" s="97">
        <v>29.25</v>
      </c>
      <c r="C285" s="97">
        <f>'Master Item List'!M286</f>
        <v>16.517105263157895</v>
      </c>
      <c r="D285" s="69">
        <f t="shared" si="8"/>
        <v>12.732894736842105</v>
      </c>
      <c r="E285" s="87">
        <f t="shared" si="9"/>
        <v>0.77089142037759906</v>
      </c>
    </row>
    <row r="286" spans="1:5" ht="34" customHeight="1" x14ac:dyDescent="0.25">
      <c r="A286" s="94" t="s">
        <v>1141</v>
      </c>
      <c r="B286" s="97">
        <v>57.25</v>
      </c>
      <c r="C286" s="97">
        <f>'Master Item List'!M287</f>
        <v>45.447222222222223</v>
      </c>
      <c r="D286" s="69">
        <f t="shared" si="8"/>
        <v>11.802777777777777</v>
      </c>
      <c r="E286" s="87">
        <f t="shared" si="9"/>
        <v>0.25970295214228956</v>
      </c>
    </row>
    <row r="287" spans="1:5" ht="34" customHeight="1" x14ac:dyDescent="0.25">
      <c r="A287" s="94" t="s">
        <v>1161</v>
      </c>
      <c r="B287" s="97">
        <v>38.25</v>
      </c>
      <c r="C287" s="97">
        <f>'Master Item List'!M288</f>
        <v>26.698333333333334</v>
      </c>
      <c r="D287" s="69">
        <f t="shared" si="8"/>
        <v>11.551666666666666</v>
      </c>
      <c r="E287" s="87">
        <f t="shared" si="9"/>
        <v>0.4326736999812722</v>
      </c>
    </row>
    <row r="288" spans="1:5" ht="34" customHeight="1" x14ac:dyDescent="0.25">
      <c r="A288" s="94" t="s">
        <v>480</v>
      </c>
      <c r="B288" s="97">
        <v>39.75</v>
      </c>
      <c r="C288" s="97">
        <f>'Master Item List'!M289</f>
        <v>28.225000000000001</v>
      </c>
      <c r="D288" s="69">
        <f t="shared" si="8"/>
        <v>11.524999999999999</v>
      </c>
      <c r="E288" s="87">
        <f t="shared" si="9"/>
        <v>0.40832595217006196</v>
      </c>
    </row>
    <row r="289" spans="1:5" ht="34" customHeight="1" x14ac:dyDescent="0.25">
      <c r="A289" s="94" t="s">
        <v>1304</v>
      </c>
      <c r="B289" s="97">
        <v>81.5</v>
      </c>
      <c r="C289" s="97">
        <f>'Master Item List'!M290</f>
        <v>53.075000000000003</v>
      </c>
      <c r="D289" s="69">
        <f t="shared" si="8"/>
        <v>28.424999999999997</v>
      </c>
      <c r="E289" s="87">
        <f t="shared" si="9"/>
        <v>0.53556288271314167</v>
      </c>
    </row>
    <row r="290" spans="1:5" ht="34" customHeight="1" x14ac:dyDescent="0.25">
      <c r="A290" s="94" t="s">
        <v>1303</v>
      </c>
      <c r="B290" s="97">
        <v>65.5</v>
      </c>
      <c r="C290" s="97">
        <f>'Master Item List'!M291</f>
        <v>53.075000000000003</v>
      </c>
      <c r="D290" s="69">
        <f t="shared" si="8"/>
        <v>12.424999999999997</v>
      </c>
      <c r="E290" s="87">
        <f t="shared" si="9"/>
        <v>0.23410268487988689</v>
      </c>
    </row>
    <row r="291" spans="1:5" ht="34" customHeight="1" x14ac:dyDescent="0.25">
      <c r="A291" s="94" t="s">
        <v>111</v>
      </c>
      <c r="B291" s="97">
        <v>40.25</v>
      </c>
      <c r="C291" s="97">
        <f>'Master Item List'!M292</f>
        <v>28.543181818181818</v>
      </c>
      <c r="D291" s="69">
        <f t="shared" si="8"/>
        <v>11.706818181818182</v>
      </c>
      <c r="E291" s="87">
        <f t="shared" si="9"/>
        <v>0.41014411975475756</v>
      </c>
    </row>
    <row r="292" spans="1:5" ht="34" customHeight="1" x14ac:dyDescent="0.25">
      <c r="A292" s="94" t="s">
        <v>112</v>
      </c>
      <c r="B292" s="97">
        <v>42.25</v>
      </c>
      <c r="C292" s="97">
        <f>'Master Item List'!M293</f>
        <v>30.1</v>
      </c>
      <c r="D292" s="69">
        <f t="shared" si="8"/>
        <v>12.149999999999999</v>
      </c>
      <c r="E292" s="87">
        <f t="shared" si="9"/>
        <v>0.40365448504983381</v>
      </c>
    </row>
    <row r="293" spans="1:5" ht="34" customHeight="1" x14ac:dyDescent="0.25">
      <c r="A293" s="94" t="s">
        <v>1165</v>
      </c>
      <c r="B293" s="97">
        <v>29.5</v>
      </c>
      <c r="C293" s="97">
        <f>'Master Item List'!M294</f>
        <v>20.490625000000001</v>
      </c>
      <c r="D293" s="69">
        <f t="shared" si="8"/>
        <v>9.0093749999999986</v>
      </c>
      <c r="E293" s="87">
        <f t="shared" si="9"/>
        <v>0.43968278175995112</v>
      </c>
    </row>
    <row r="294" spans="1:5" ht="34" customHeight="1" x14ac:dyDescent="0.25">
      <c r="A294" s="94" t="s">
        <v>1282</v>
      </c>
      <c r="B294" s="97">
        <v>45.5</v>
      </c>
      <c r="C294" s="97">
        <f>'Master Item List'!M295</f>
        <v>20.490625000000001</v>
      </c>
      <c r="D294" s="69">
        <f t="shared" si="8"/>
        <v>25.009374999999999</v>
      </c>
      <c r="E294" s="87">
        <f t="shared" si="9"/>
        <v>1.2205276803416194</v>
      </c>
    </row>
    <row r="295" spans="1:5" ht="34" customHeight="1" x14ac:dyDescent="0.25">
      <c r="A295" s="94" t="s">
        <v>1264</v>
      </c>
      <c r="B295" s="97">
        <v>42.25</v>
      </c>
      <c r="C295" s="97">
        <f>'Master Item List'!M296</f>
        <v>23.919444444444444</v>
      </c>
      <c r="D295" s="69">
        <f t="shared" si="8"/>
        <v>18.330555555555556</v>
      </c>
      <c r="E295" s="87">
        <f t="shared" si="9"/>
        <v>0.76634537219835097</v>
      </c>
    </row>
    <row r="296" spans="1:5" ht="34" customHeight="1" x14ac:dyDescent="0.25">
      <c r="A296" s="94" t="s">
        <v>1281</v>
      </c>
      <c r="B296" s="97">
        <v>58.25</v>
      </c>
      <c r="C296" s="97">
        <f>'Master Item List'!M297</f>
        <v>23.919444444444444</v>
      </c>
      <c r="D296" s="69">
        <f t="shared" si="8"/>
        <v>34.330555555555556</v>
      </c>
      <c r="E296" s="87">
        <f t="shared" si="9"/>
        <v>1.4352572291255372</v>
      </c>
    </row>
    <row r="297" spans="1:5" ht="34" customHeight="1" x14ac:dyDescent="0.25">
      <c r="A297" s="94" t="s">
        <v>1234</v>
      </c>
      <c r="B297" s="97">
        <v>34.25</v>
      </c>
      <c r="C297" s="97">
        <f>'Master Item List'!M298</f>
        <v>24.817365900383145</v>
      </c>
      <c r="D297" s="69">
        <f t="shared" si="8"/>
        <v>9.4326340996168554</v>
      </c>
      <c r="E297" s="87">
        <f t="shared" si="9"/>
        <v>0.3800820013485488</v>
      </c>
    </row>
    <row r="298" spans="1:5" ht="34" hidden="1" customHeight="1" x14ac:dyDescent="0.25">
      <c r="A298" s="94" t="s">
        <v>115</v>
      </c>
      <c r="B298" s="97">
        <v>50</v>
      </c>
      <c r="C298" s="97">
        <f>'Master Item List'!M299</f>
        <v>30.709375000000001</v>
      </c>
      <c r="D298" s="69">
        <f t="shared" si="8"/>
        <v>19.290624999999999</v>
      </c>
      <c r="E298" s="87">
        <f t="shared" si="9"/>
        <v>0.62816729418947792</v>
      </c>
    </row>
    <row r="299" spans="1:5" ht="34" customHeight="1" x14ac:dyDescent="0.25">
      <c r="A299" s="94" t="s">
        <v>116</v>
      </c>
      <c r="B299" s="97">
        <v>31.25</v>
      </c>
      <c r="C299" s="97">
        <f>'Master Item List'!M300</f>
        <v>20.3121875</v>
      </c>
      <c r="D299" s="69">
        <f t="shared" si="8"/>
        <v>10.9378125</v>
      </c>
      <c r="E299" s="87">
        <f t="shared" si="9"/>
        <v>0.53848520746473016</v>
      </c>
    </row>
    <row r="300" spans="1:5" ht="34" hidden="1" customHeight="1" x14ac:dyDescent="0.25">
      <c r="A300" s="94" t="s">
        <v>1283</v>
      </c>
      <c r="B300" s="97">
        <v>71.75</v>
      </c>
      <c r="C300" s="97">
        <f>'Master Item List'!M301</f>
        <v>21.826470588235296</v>
      </c>
      <c r="D300" s="69">
        <f t="shared" si="8"/>
        <v>49.923529411764704</v>
      </c>
      <c r="E300" s="87">
        <f t="shared" si="9"/>
        <v>2.2872928176795577</v>
      </c>
    </row>
    <row r="301" spans="1:5" ht="34" hidden="1" customHeight="1" x14ac:dyDescent="0.25">
      <c r="A301" s="94" t="s">
        <v>130</v>
      </c>
      <c r="B301" s="97">
        <v>55.75</v>
      </c>
      <c r="C301" s="97">
        <f>'Master Item List'!M302</f>
        <v>21.826470588235296</v>
      </c>
      <c r="D301" s="69">
        <f t="shared" si="8"/>
        <v>33.923529411764704</v>
      </c>
      <c r="E301" s="87">
        <f t="shared" si="9"/>
        <v>1.5542379733189595</v>
      </c>
    </row>
    <row r="302" spans="1:5" ht="34" customHeight="1" x14ac:dyDescent="0.25">
      <c r="A302" s="94" t="s">
        <v>129</v>
      </c>
      <c r="B302" s="97">
        <v>55.75</v>
      </c>
      <c r="C302" s="97">
        <f>'Master Item List'!M303</f>
        <v>45.019444444444446</v>
      </c>
      <c r="D302" s="69">
        <f t="shared" si="8"/>
        <v>10.730555555555554</v>
      </c>
      <c r="E302" s="87">
        <f t="shared" si="9"/>
        <v>0.2383537977417165</v>
      </c>
    </row>
    <row r="303" spans="1:5" ht="34" customHeight="1" x14ac:dyDescent="0.25">
      <c r="A303" s="94" t="s">
        <v>1284</v>
      </c>
      <c r="B303" s="97">
        <v>71.75</v>
      </c>
      <c r="C303" s="97">
        <f>'Master Item List'!M304</f>
        <v>45.019444444444446</v>
      </c>
      <c r="D303" s="69">
        <f t="shared" si="8"/>
        <v>26.730555555555554</v>
      </c>
      <c r="E303" s="87">
        <f t="shared" si="9"/>
        <v>0.59375578453754541</v>
      </c>
    </row>
    <row r="304" spans="1:5" ht="34" customHeight="1" x14ac:dyDescent="0.25">
      <c r="A304" s="94" t="s">
        <v>489</v>
      </c>
      <c r="B304" s="97">
        <v>34.5</v>
      </c>
      <c r="C304" s="97">
        <f>'Master Item List'!M305</f>
        <v>24.329210526315791</v>
      </c>
      <c r="D304" s="69">
        <f t="shared" si="8"/>
        <v>10.170789473684209</v>
      </c>
      <c r="E304" s="87">
        <f t="shared" si="9"/>
        <v>0.41804847973521103</v>
      </c>
    </row>
    <row r="305" spans="1:5" ht="34" customHeight="1" x14ac:dyDescent="0.25">
      <c r="A305" s="94" t="s">
        <v>1051</v>
      </c>
      <c r="B305" s="97">
        <v>75.5</v>
      </c>
      <c r="C305" s="97">
        <f>'Master Item List'!M306</f>
        <v>10.725</v>
      </c>
      <c r="D305" s="69">
        <f t="shared" si="8"/>
        <v>64.775000000000006</v>
      </c>
      <c r="E305" s="87">
        <f t="shared" si="9"/>
        <v>6.0396270396270406</v>
      </c>
    </row>
    <row r="306" spans="1:5" ht="34" customHeight="1" x14ac:dyDescent="0.25">
      <c r="A306" s="94" t="s">
        <v>131</v>
      </c>
      <c r="B306" s="97">
        <v>26.75</v>
      </c>
      <c r="C306" s="97">
        <f>'Master Item List'!M307</f>
        <v>16.643717948717949</v>
      </c>
      <c r="D306" s="69">
        <f t="shared" si="8"/>
        <v>10.106282051282051</v>
      </c>
      <c r="E306" s="87">
        <f t="shared" si="9"/>
        <v>0.607213008681184</v>
      </c>
    </row>
    <row r="307" spans="1:5" ht="34" customHeight="1" x14ac:dyDescent="0.25">
      <c r="A307" s="94" t="s">
        <v>132</v>
      </c>
      <c r="B307" s="97">
        <v>42.75</v>
      </c>
      <c r="C307" s="97">
        <f>'Master Item List'!M308</f>
        <v>16.17371794871795</v>
      </c>
      <c r="D307" s="69">
        <f t="shared" si="8"/>
        <v>26.57628205128205</v>
      </c>
      <c r="E307" s="87">
        <f t="shared" si="9"/>
        <v>1.6431770441124012</v>
      </c>
    </row>
    <row r="308" spans="1:5" ht="34" customHeight="1" x14ac:dyDescent="0.25">
      <c r="A308" s="94" t="s">
        <v>1149</v>
      </c>
      <c r="B308" s="97">
        <v>79.25</v>
      </c>
      <c r="C308" s="97">
        <f>'Master Item List'!M309</f>
        <v>68.375</v>
      </c>
      <c r="D308" s="69">
        <f t="shared" si="8"/>
        <v>10.875</v>
      </c>
      <c r="E308" s="87">
        <f t="shared" si="9"/>
        <v>0.15904936014625229</v>
      </c>
    </row>
    <row r="309" spans="1:5" ht="34" customHeight="1" x14ac:dyDescent="0.25">
      <c r="A309" s="94" t="s">
        <v>152</v>
      </c>
      <c r="B309" s="97">
        <v>41.25</v>
      </c>
      <c r="C309" s="97">
        <f>'Master Item List'!M310</f>
        <v>14.93030303030303</v>
      </c>
      <c r="D309" s="69">
        <f t="shared" si="8"/>
        <v>26.31969696969697</v>
      </c>
      <c r="E309" s="87">
        <f t="shared" si="9"/>
        <v>1.7628374264258171</v>
      </c>
    </row>
    <row r="310" spans="1:5" ht="34" customHeight="1" x14ac:dyDescent="0.25">
      <c r="A310" s="94" t="s">
        <v>1265</v>
      </c>
      <c r="B310" s="97">
        <v>25.25</v>
      </c>
      <c r="C310" s="97">
        <f>'Master Item List'!M311</f>
        <v>13.755303030303031</v>
      </c>
      <c r="D310" s="69">
        <f t="shared" si="8"/>
        <v>11.494696969696969</v>
      </c>
      <c r="E310" s="87">
        <f t="shared" si="9"/>
        <v>0.83565566998953567</v>
      </c>
    </row>
    <row r="311" spans="1:5" ht="34" customHeight="1" x14ac:dyDescent="0.25">
      <c r="A311" s="94" t="s">
        <v>1236</v>
      </c>
      <c r="B311" s="97">
        <v>56.5</v>
      </c>
      <c r="C311" s="97">
        <f>'Master Item List'!M312</f>
        <v>47.685000000000002</v>
      </c>
      <c r="D311" s="69">
        <f t="shared" si="8"/>
        <v>8.8149999999999977</v>
      </c>
      <c r="E311" s="87">
        <f t="shared" si="9"/>
        <v>0.1848589703260983</v>
      </c>
    </row>
    <row r="312" spans="1:5" ht="34" customHeight="1" x14ac:dyDescent="0.25">
      <c r="A312" s="94" t="s">
        <v>1237</v>
      </c>
      <c r="B312" s="97">
        <v>48.5</v>
      </c>
      <c r="C312" s="97">
        <f>'Master Item List'!M313</f>
        <v>26.285</v>
      </c>
      <c r="D312" s="69">
        <f t="shared" si="8"/>
        <v>22.215</v>
      </c>
      <c r="E312" s="87">
        <f t="shared" si="9"/>
        <v>0.84515883583793039</v>
      </c>
    </row>
    <row r="313" spans="1:5" ht="34" customHeight="1" x14ac:dyDescent="0.25">
      <c r="A313" s="94" t="s">
        <v>1238</v>
      </c>
      <c r="B313" s="97">
        <v>48.5</v>
      </c>
      <c r="C313" s="97">
        <f>'Master Item List'!M314</f>
        <v>28.965</v>
      </c>
      <c r="D313" s="69">
        <f t="shared" si="8"/>
        <v>19.535</v>
      </c>
      <c r="E313" s="87">
        <f t="shared" si="9"/>
        <v>0.67443466252373552</v>
      </c>
    </row>
    <row r="314" spans="1:5" ht="34" customHeight="1" x14ac:dyDescent="0.25">
      <c r="A314" s="94" t="s">
        <v>1156</v>
      </c>
      <c r="B314" s="97">
        <v>50.25</v>
      </c>
      <c r="C314" s="97">
        <f>'Master Item List'!M315</f>
        <v>39.685000000000002</v>
      </c>
      <c r="D314" s="69">
        <f t="shared" si="8"/>
        <v>10.564999999999998</v>
      </c>
      <c r="E314" s="87">
        <f t="shared" si="9"/>
        <v>0.26622149426735536</v>
      </c>
    </row>
    <row r="315" spans="1:5" ht="34" customHeight="1" x14ac:dyDescent="0.25">
      <c r="A315" s="94" t="s">
        <v>61</v>
      </c>
      <c r="B315" s="97">
        <v>35.5</v>
      </c>
      <c r="C315" s="97">
        <f>'Master Item List'!M316</f>
        <v>24.891666666666666</v>
      </c>
      <c r="D315" s="69">
        <f t="shared" si="8"/>
        <v>10.608333333333334</v>
      </c>
      <c r="E315" s="87">
        <f t="shared" si="9"/>
        <v>0.42618011382658189</v>
      </c>
    </row>
    <row r="316" spans="1:5" ht="34" customHeight="1" x14ac:dyDescent="0.25">
      <c r="A316" s="94" t="s">
        <v>564</v>
      </c>
      <c r="B316" s="97">
        <v>68</v>
      </c>
      <c r="C316" s="97">
        <f>'Master Item List'!M317</f>
        <v>49.058333333333337</v>
      </c>
      <c r="D316" s="69">
        <f t="shared" si="8"/>
        <v>18.941666666666663</v>
      </c>
      <c r="E316" s="87">
        <f t="shared" si="9"/>
        <v>0.38610497706811608</v>
      </c>
    </row>
    <row r="317" spans="1:5" ht="34" customHeight="1" x14ac:dyDescent="0.25">
      <c r="A317" s="94" t="s">
        <v>1235</v>
      </c>
      <c r="B317" s="97">
        <v>48.5</v>
      </c>
      <c r="C317" s="97">
        <f>'Master Item List'!M318</f>
        <v>27.618382352941179</v>
      </c>
      <c r="D317" s="69">
        <f t="shared" si="8"/>
        <v>20.881617647058821</v>
      </c>
      <c r="E317" s="87">
        <f t="shared" si="9"/>
        <v>0.75607678176832338</v>
      </c>
    </row>
    <row r="318" spans="1:5" ht="34" customHeight="1" x14ac:dyDescent="0.25">
      <c r="A318" s="94" t="s">
        <v>1289</v>
      </c>
      <c r="B318" s="97">
        <v>64.5</v>
      </c>
      <c r="C318" s="97">
        <f>'Master Item List'!M319</f>
        <v>27.618382352941179</v>
      </c>
      <c r="D318" s="69">
        <f t="shared" si="8"/>
        <v>36.881617647058818</v>
      </c>
      <c r="E318" s="87">
        <f t="shared" si="9"/>
        <v>1.3354010809083887</v>
      </c>
    </row>
    <row r="319" spans="1:5" ht="34" customHeight="1" x14ac:dyDescent="0.25">
      <c r="A319" s="94" t="s">
        <v>142</v>
      </c>
      <c r="B319" s="97">
        <v>40.75</v>
      </c>
      <c r="C319" s="97">
        <f>'Master Item List'!M320</f>
        <v>29.475000000000001</v>
      </c>
      <c r="D319" s="69">
        <f t="shared" si="8"/>
        <v>11.274999999999999</v>
      </c>
      <c r="E319" s="87">
        <f t="shared" si="9"/>
        <v>0.38252756573367253</v>
      </c>
    </row>
    <row r="320" spans="1:5" ht="34" hidden="1" customHeight="1" x14ac:dyDescent="0.25">
      <c r="A320" s="94" t="s">
        <v>584</v>
      </c>
      <c r="B320" s="97">
        <v>59.5</v>
      </c>
      <c r="C320" s="97">
        <f>'Master Item List'!M321</f>
        <v>48.225000000000001</v>
      </c>
      <c r="D320" s="69">
        <f t="shared" si="8"/>
        <v>11.274999999999999</v>
      </c>
      <c r="E320" s="87">
        <f t="shared" si="9"/>
        <v>0.2337998963193364</v>
      </c>
    </row>
    <row r="321" spans="1:5" ht="34" customHeight="1" x14ac:dyDescent="0.25">
      <c r="A321" s="94" t="s">
        <v>143</v>
      </c>
      <c r="B321" s="97">
        <v>56.75</v>
      </c>
      <c r="C321" s="97">
        <f>'Master Item List'!M322</f>
        <v>29.475000000000001</v>
      </c>
      <c r="D321" s="69">
        <f t="shared" si="8"/>
        <v>27.274999999999999</v>
      </c>
      <c r="E321" s="87">
        <f t="shared" si="9"/>
        <v>0.92536047497879548</v>
      </c>
    </row>
    <row r="322" spans="1:5" ht="34" customHeight="1" x14ac:dyDescent="0.25">
      <c r="A322" s="94" t="s">
        <v>157</v>
      </c>
      <c r="B322" s="97">
        <v>32</v>
      </c>
      <c r="C322" s="97">
        <f>'Master Item List'!M323</f>
        <v>20.393421052631581</v>
      </c>
      <c r="D322" s="69">
        <f t="shared" ref="D322:D337" si="10">B322-C322</f>
        <v>11.606578947368419</v>
      </c>
      <c r="E322" s="87">
        <f t="shared" ref="E322:E337" si="11">D322/C322</f>
        <v>0.56913349248338585</v>
      </c>
    </row>
    <row r="323" spans="1:5" ht="34" customHeight="1" x14ac:dyDescent="0.25">
      <c r="A323" s="94" t="s">
        <v>158</v>
      </c>
      <c r="B323" s="97">
        <v>24.75</v>
      </c>
      <c r="C323" s="97">
        <f>'Master Item List'!M324</f>
        <v>14.096710526315789</v>
      </c>
      <c r="D323" s="69">
        <f t="shared" si="10"/>
        <v>10.653289473684211</v>
      </c>
      <c r="E323" s="87">
        <f t="shared" si="11"/>
        <v>0.75572875344191914</v>
      </c>
    </row>
    <row r="324" spans="1:5" ht="34" customHeight="1" x14ac:dyDescent="0.25">
      <c r="A324" s="94" t="s">
        <v>159</v>
      </c>
      <c r="B324" s="97">
        <v>40.75</v>
      </c>
      <c r="C324" s="97">
        <f>'Master Item List'!M325</f>
        <v>19.971710526315789</v>
      </c>
      <c r="D324" s="69">
        <f t="shared" si="10"/>
        <v>20.778289473684211</v>
      </c>
      <c r="E324" s="87">
        <f t="shared" si="11"/>
        <v>1.0403860724050467</v>
      </c>
    </row>
    <row r="325" spans="1:5" ht="34" customHeight="1" x14ac:dyDescent="0.25">
      <c r="A325" s="94" t="s">
        <v>560</v>
      </c>
      <c r="B325" s="97">
        <v>27.5</v>
      </c>
      <c r="C325" s="97">
        <f>'Master Item List'!M326</f>
        <v>15.16578947368421</v>
      </c>
      <c r="D325" s="69">
        <f t="shared" si="10"/>
        <v>12.33421052631579</v>
      </c>
      <c r="E325" s="87">
        <f t="shared" si="11"/>
        <v>0.81329168835675869</v>
      </c>
    </row>
    <row r="326" spans="1:5" ht="34" customHeight="1" x14ac:dyDescent="0.25">
      <c r="A326" s="94" t="s">
        <v>561</v>
      </c>
      <c r="B326" s="97">
        <v>43.75</v>
      </c>
      <c r="C326" s="97">
        <f>'Master Item List'!M327</f>
        <v>15.16578947368421</v>
      </c>
      <c r="D326" s="69">
        <f t="shared" si="10"/>
        <v>28.58421052631579</v>
      </c>
      <c r="E326" s="87">
        <f t="shared" si="11"/>
        <v>1.8847822314766616</v>
      </c>
    </row>
    <row r="327" spans="1:5" ht="34" customHeight="1" x14ac:dyDescent="0.25">
      <c r="A327" s="94" t="s">
        <v>160</v>
      </c>
      <c r="B327" s="97">
        <v>29.75</v>
      </c>
      <c r="C327" s="97">
        <f>'Master Item List'!M328</f>
        <v>18.93</v>
      </c>
      <c r="D327" s="69">
        <f t="shared" si="10"/>
        <v>10.82</v>
      </c>
      <c r="E327" s="87">
        <f t="shared" si="11"/>
        <v>0.57157950343370312</v>
      </c>
    </row>
    <row r="328" spans="1:5" ht="34" customHeight="1" x14ac:dyDescent="0.25">
      <c r="A328" s="94" t="s">
        <v>1131</v>
      </c>
      <c r="B328" s="97">
        <v>56.5</v>
      </c>
      <c r="C328" s="97">
        <f>'Master Item List'!M329</f>
        <v>60.725000000000001</v>
      </c>
      <c r="D328" s="69">
        <f t="shared" si="10"/>
        <v>-4.2250000000000014</v>
      </c>
      <c r="E328" s="87">
        <f t="shared" si="11"/>
        <v>-6.9575957184026371E-2</v>
      </c>
    </row>
    <row r="329" spans="1:5" ht="34" customHeight="1" x14ac:dyDescent="0.25">
      <c r="A329" s="94" t="s">
        <v>1272</v>
      </c>
      <c r="B329" s="97">
        <v>72.5</v>
      </c>
      <c r="C329" s="97">
        <f>'Master Item List'!M330</f>
        <v>60.725000000000001</v>
      </c>
      <c r="D329" s="69">
        <f t="shared" si="10"/>
        <v>11.774999999999999</v>
      </c>
      <c r="E329" s="87">
        <f t="shared" si="11"/>
        <v>0.19390695759571838</v>
      </c>
    </row>
    <row r="330" spans="1:5" ht="34" customHeight="1" x14ac:dyDescent="0.25">
      <c r="A330" s="94" t="s">
        <v>491</v>
      </c>
      <c r="B330" s="97">
        <v>28.75</v>
      </c>
      <c r="C330" s="97">
        <f>'Master Item List'!M331</f>
        <v>18.851250000000004</v>
      </c>
      <c r="D330" s="69">
        <f t="shared" si="10"/>
        <v>9.8987499999999962</v>
      </c>
      <c r="E330" s="87">
        <f t="shared" si="11"/>
        <v>0.52509780518533222</v>
      </c>
    </row>
    <row r="331" spans="1:5" ht="34" customHeight="1" x14ac:dyDescent="0.25">
      <c r="A331" s="94" t="s">
        <v>162</v>
      </c>
      <c r="B331" s="97">
        <v>44.75</v>
      </c>
      <c r="C331" s="97">
        <f>'Master Item List'!M332</f>
        <v>21.906250000000004</v>
      </c>
      <c r="D331" s="69">
        <f t="shared" si="10"/>
        <v>22.843749999999996</v>
      </c>
      <c r="E331" s="87">
        <f t="shared" si="11"/>
        <v>1.0427960057061338</v>
      </c>
    </row>
    <row r="332" spans="1:5" ht="34" customHeight="1" x14ac:dyDescent="0.25">
      <c r="A332" s="94" t="s">
        <v>427</v>
      </c>
      <c r="B332" s="97">
        <v>99.99</v>
      </c>
      <c r="C332" s="97">
        <f>'Master Item List'!M333</f>
        <v>10.725</v>
      </c>
      <c r="D332" s="69">
        <f t="shared" si="10"/>
        <v>89.265000000000001</v>
      </c>
      <c r="E332" s="87">
        <f t="shared" si="11"/>
        <v>8.3230769230769237</v>
      </c>
    </row>
    <row r="333" spans="1:5" ht="34" customHeight="1" x14ac:dyDescent="0.25">
      <c r="A333" s="94" t="s">
        <v>1279</v>
      </c>
      <c r="B333" s="97">
        <v>65.5</v>
      </c>
      <c r="C333" s="97">
        <f>'Master Item List'!M334</f>
        <v>24.058333333333337</v>
      </c>
      <c r="D333" s="69">
        <f t="shared" si="10"/>
        <v>41.441666666666663</v>
      </c>
      <c r="E333" s="87">
        <f t="shared" si="11"/>
        <v>1.7225493591963972</v>
      </c>
    </row>
    <row r="334" spans="1:5" ht="34" customHeight="1" x14ac:dyDescent="0.25">
      <c r="A334" s="94" t="s">
        <v>1062</v>
      </c>
      <c r="B334" s="97">
        <v>49.5</v>
      </c>
      <c r="C334" s="97">
        <f>'Master Item List'!M335</f>
        <v>24.058333333333337</v>
      </c>
      <c r="D334" s="69">
        <f t="shared" si="10"/>
        <v>25.441666666666663</v>
      </c>
      <c r="E334" s="87">
        <f t="shared" si="11"/>
        <v>1.0574991340491857</v>
      </c>
    </row>
    <row r="335" spans="1:5" ht="34" customHeight="1" x14ac:dyDescent="0.25">
      <c r="A335" s="94" t="s">
        <v>164</v>
      </c>
      <c r="B335" s="97">
        <v>36.25</v>
      </c>
      <c r="C335" s="97">
        <f>'Master Item List'!M336</f>
        <v>25.010714285714286</v>
      </c>
      <c r="D335" s="69">
        <f t="shared" si="10"/>
        <v>11.239285714285714</v>
      </c>
      <c r="E335" s="87">
        <f t="shared" si="11"/>
        <v>0.449378837641011</v>
      </c>
    </row>
    <row r="336" spans="1:5" ht="34" customHeight="1" x14ac:dyDescent="0.25">
      <c r="A336" s="94" t="s">
        <v>170</v>
      </c>
      <c r="B336" s="97">
        <v>31.75</v>
      </c>
      <c r="C336" s="97">
        <f>'Master Item List'!M337</f>
        <v>20.233333333333334</v>
      </c>
      <c r="D336" s="69">
        <f t="shared" si="10"/>
        <v>11.516666666666666</v>
      </c>
      <c r="E336" s="87">
        <f t="shared" si="11"/>
        <v>0.56919275123558477</v>
      </c>
    </row>
    <row r="337" spans="1:5" ht="34" customHeight="1" x14ac:dyDescent="0.25">
      <c r="A337" s="94" t="s">
        <v>171</v>
      </c>
      <c r="B337" s="97">
        <v>47.75</v>
      </c>
      <c r="C337" s="97">
        <f>'Master Item List'!M338</f>
        <v>20.233333333333334</v>
      </c>
      <c r="D337" s="69">
        <f t="shared" si="10"/>
        <v>27.516666666666666</v>
      </c>
      <c r="E337" s="87">
        <f t="shared" si="11"/>
        <v>1.3599670510708401</v>
      </c>
    </row>
    <row r="341" spans="1:5" ht="34" customHeight="1" x14ac:dyDescent="0.25">
      <c r="D341" s="98">
        <v>10</v>
      </c>
      <c r="E341" s="102">
        <v>0.3</v>
      </c>
    </row>
    <row r="342" spans="1:5" ht="34" customHeight="1" x14ac:dyDescent="0.25">
      <c r="D342" s="98">
        <v>13</v>
      </c>
      <c r="E342" s="102">
        <v>0.45</v>
      </c>
    </row>
  </sheetData>
  <conditionalFormatting sqref="D2:D337">
    <cfRule type="cellIs" dxfId="10" priority="3" stopIfTrue="1" operator="greaterThan">
      <formula>$D$342</formula>
    </cfRule>
    <cfRule type="cellIs" dxfId="9" priority="4" stopIfTrue="1" operator="lessThan">
      <formula>$D$341</formula>
    </cfRule>
  </conditionalFormatting>
  <conditionalFormatting sqref="E2:E337">
    <cfRule type="cellIs" dxfId="8" priority="1" operator="greaterThan">
      <formula>$E$342</formula>
    </cfRule>
    <cfRule type="cellIs" dxfId="7" priority="2" operator="lessThan">
      <formula>$E$341</formula>
    </cfRule>
  </conditionalFormatting>
  <conditionalFormatting sqref="E343">
    <cfRule type="colorScale" priority="5">
      <colorScale>
        <cfvo type="num" val="10"/>
        <cfvo type="num" val="13"/>
        <color rgb="FFFF7128"/>
        <color rgb="FFFFEF9C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48508-7688-417B-9250-909BB25A6CCD}">
  <sheetPr>
    <pageSetUpPr fitToPage="1"/>
  </sheetPr>
  <dimension ref="A1:AH66"/>
  <sheetViews>
    <sheetView topLeftCell="A10" zoomScale="120" zoomScaleNormal="120" workbookViewId="0">
      <selection activeCell="B40" sqref="B40"/>
    </sheetView>
  </sheetViews>
  <sheetFormatPr baseColWidth="10" defaultColWidth="8.83203125" defaultRowHeight="23" customHeight="1" x14ac:dyDescent="0.2"/>
  <cols>
    <col min="1" max="1" width="41.83203125" style="23" customWidth="1"/>
    <col min="2" max="4" width="29" style="23" customWidth="1"/>
    <col min="5" max="5" width="42" style="23" customWidth="1"/>
    <col min="6" max="6" width="21.83203125" style="50" customWidth="1"/>
    <col min="7" max="7" width="10.1640625" style="50" customWidth="1"/>
    <col min="8" max="9" width="9.83203125" style="50" customWidth="1"/>
    <col min="10" max="10" width="0.1640625" style="50" customWidth="1"/>
    <col min="11" max="11" width="12" style="50" customWidth="1"/>
    <col min="12" max="12" width="11.1640625" style="50" customWidth="1"/>
    <col min="13" max="13" width="11.83203125" style="50" customWidth="1"/>
    <col min="14" max="14" width="11.5" style="50" customWidth="1"/>
    <col min="15" max="16384" width="8.83203125" style="50"/>
  </cols>
  <sheetData>
    <row r="1" spans="1:34" s="65" customFormat="1" ht="23" customHeight="1" x14ac:dyDescent="0.2">
      <c r="A1" s="62" t="s">
        <v>469</v>
      </c>
      <c r="B1" s="62" t="s">
        <v>462</v>
      </c>
      <c r="C1" s="62" t="s">
        <v>380</v>
      </c>
      <c r="D1" s="62" t="s">
        <v>463</v>
      </c>
      <c r="E1" s="62" t="s">
        <v>590</v>
      </c>
      <c r="F1" s="63" t="s">
        <v>464</v>
      </c>
      <c r="G1" s="64">
        <v>0.25</v>
      </c>
      <c r="H1" s="64">
        <v>0.3</v>
      </c>
      <c r="I1" s="64">
        <v>0.35</v>
      </c>
      <c r="J1" s="64">
        <v>0.4</v>
      </c>
      <c r="K1" s="64" t="s">
        <v>465</v>
      </c>
      <c r="L1" s="64" t="s">
        <v>466</v>
      </c>
      <c r="M1" s="64" t="s">
        <v>467</v>
      </c>
      <c r="N1" s="64" t="s">
        <v>468</v>
      </c>
    </row>
    <row r="2" spans="1:34" ht="23" customHeight="1" x14ac:dyDescent="0.2">
      <c r="A2" s="19" t="s">
        <v>485</v>
      </c>
      <c r="B2" s="19" t="s">
        <v>495</v>
      </c>
      <c r="C2" s="12"/>
      <c r="D2" s="12"/>
      <c r="E2" s="52" t="s">
        <v>116</v>
      </c>
      <c r="F2" s="53">
        <f>(VLOOKUP($B2,'Master Item List'!$A$1:$V$320,13,FALSE)+VLOOKUP($E2,'Master Item List'!$A$1:$V$320,13,FALSE))/2</f>
        <v>18.854800646551723</v>
      </c>
      <c r="G2" s="53">
        <f t="shared" ref="G2:G37" si="0">$F2*1.25</f>
        <v>23.568500808189654</v>
      </c>
      <c r="H2" s="53">
        <f t="shared" ref="H2:H37" si="1">$F2*1.3</f>
        <v>24.511240840517242</v>
      </c>
      <c r="I2" s="53">
        <f t="shared" ref="I2:I37" si="2">$F2*1.35</f>
        <v>25.453980872844827</v>
      </c>
      <c r="J2" s="53">
        <f t="shared" ref="J2:J37" si="3">$F2*1.4</f>
        <v>26.396720905172412</v>
      </c>
      <c r="K2" s="54">
        <f t="shared" ref="K2:K44" si="4">MROUND(G2,0.25)+2.25</f>
        <v>25.75</v>
      </c>
      <c r="L2" s="54">
        <f t="shared" ref="L2:L44" si="5">MROUND(H2,0.25)+2.25</f>
        <v>26.75</v>
      </c>
      <c r="M2" s="54">
        <f t="shared" ref="M2:M44" si="6">MROUND(I2,0.25)+2.25</f>
        <v>27.75</v>
      </c>
      <c r="N2" s="54">
        <f t="shared" ref="N2:N44" si="7">MROUND(J2,0.25)+2.25</f>
        <v>28.75</v>
      </c>
    </row>
    <row r="3" spans="1:34" ht="23" customHeight="1" x14ac:dyDescent="0.2">
      <c r="A3" s="19" t="s">
        <v>1069</v>
      </c>
      <c r="B3" s="19" t="s">
        <v>495</v>
      </c>
      <c r="C3" s="12"/>
      <c r="D3" s="12"/>
      <c r="E3" s="52" t="s">
        <v>116</v>
      </c>
      <c r="F3" s="53">
        <f>(VLOOKUP($B3,'Master Item List'!$A$1:$V$320,13,FALSE)+VLOOKUP($E3,'Master Item List'!$A$1:$V$320,13,FALSE))</f>
        <v>37.709601293103447</v>
      </c>
      <c r="G3" s="53">
        <f t="shared" si="0"/>
        <v>47.137001616379308</v>
      </c>
      <c r="H3" s="53">
        <f t="shared" si="1"/>
        <v>49.022481681034485</v>
      </c>
      <c r="I3" s="53">
        <f t="shared" si="2"/>
        <v>50.907961745689654</v>
      </c>
      <c r="J3" s="53">
        <f t="shared" si="3"/>
        <v>52.793441810344824</v>
      </c>
      <c r="K3" s="54">
        <f t="shared" ref="K3" si="8">MROUND(G3,0.25)+2.25</f>
        <v>49.5</v>
      </c>
      <c r="L3" s="54">
        <f t="shared" ref="L3" si="9">MROUND(H3,0.25)+2.25</f>
        <v>51.25</v>
      </c>
      <c r="M3" s="54">
        <f t="shared" ref="M3" si="10">MROUND(I3,0.25)+2.25</f>
        <v>53.25</v>
      </c>
      <c r="N3" s="54">
        <f t="shared" ref="N3" si="11">MROUND(J3,0.25)+2.25</f>
        <v>55</v>
      </c>
    </row>
    <row r="4" spans="1:34" ht="23" customHeight="1" x14ac:dyDescent="0.2">
      <c r="A4" s="19" t="s">
        <v>481</v>
      </c>
      <c r="B4" s="19" t="s">
        <v>495</v>
      </c>
      <c r="C4" s="12"/>
      <c r="D4" s="12"/>
      <c r="E4" s="19" t="s">
        <v>454</v>
      </c>
      <c r="F4" s="53" t="e">
        <f>(VLOOKUP($B4,'Master Item List'!$A$1:$V$320,13,FALSE)+VLOOKUP($E4,'Master Item List'!$A$1:$V$320,13,FALSE))/2</f>
        <v>#N/A</v>
      </c>
      <c r="G4" s="53" t="e">
        <f t="shared" si="0"/>
        <v>#N/A</v>
      </c>
      <c r="H4" s="53" t="e">
        <f t="shared" si="1"/>
        <v>#N/A</v>
      </c>
      <c r="I4" s="53" t="e">
        <f t="shared" si="2"/>
        <v>#N/A</v>
      </c>
      <c r="J4" s="53" t="e">
        <f t="shared" si="3"/>
        <v>#N/A</v>
      </c>
      <c r="K4" s="54" t="e">
        <f t="shared" si="4"/>
        <v>#N/A</v>
      </c>
      <c r="L4" s="54" t="e">
        <f t="shared" si="5"/>
        <v>#N/A</v>
      </c>
      <c r="M4" s="54" t="e">
        <f t="shared" si="6"/>
        <v>#N/A</v>
      </c>
      <c r="N4" s="54" t="e">
        <f t="shared" si="7"/>
        <v>#N/A</v>
      </c>
    </row>
    <row r="5" spans="1:34" ht="23" customHeight="1" x14ac:dyDescent="0.2">
      <c r="A5" s="19" t="s">
        <v>482</v>
      </c>
      <c r="B5" s="19" t="s">
        <v>495</v>
      </c>
      <c r="C5" s="12"/>
      <c r="D5" s="12"/>
      <c r="E5" s="19" t="s">
        <v>522</v>
      </c>
      <c r="F5" s="53">
        <f>(VLOOKUP($B5,'Master Item List'!$A$1:$V$320,13,FALSE)+VLOOKUP($E5,'Master Item List'!$A$1:$V$320,13,FALSE))/2</f>
        <v>17.225894396551723</v>
      </c>
      <c r="G5" s="53">
        <f t="shared" si="0"/>
        <v>21.532367995689654</v>
      </c>
      <c r="H5" s="53">
        <f t="shared" si="1"/>
        <v>22.393662715517241</v>
      </c>
      <c r="I5" s="53">
        <f t="shared" si="2"/>
        <v>23.254957435344828</v>
      </c>
      <c r="J5" s="53">
        <f t="shared" si="3"/>
        <v>24.116252155172411</v>
      </c>
      <c r="K5" s="54">
        <f t="shared" si="4"/>
        <v>23.75</v>
      </c>
      <c r="L5" s="54">
        <f t="shared" si="5"/>
        <v>24.75</v>
      </c>
      <c r="M5" s="54">
        <f t="shared" si="6"/>
        <v>25.5</v>
      </c>
      <c r="N5" s="54">
        <f t="shared" si="7"/>
        <v>26.25</v>
      </c>
    </row>
    <row r="6" spans="1:34" s="57" customFormat="1" ht="23" hidden="1" customHeight="1" x14ac:dyDescent="0.2">
      <c r="A6" s="20" t="s">
        <v>484</v>
      </c>
      <c r="B6" s="19" t="s">
        <v>495</v>
      </c>
      <c r="C6" s="61"/>
      <c r="D6" s="61"/>
      <c r="E6" s="19" t="str">
        <f>'Master Item List'!A61</f>
        <v>GRAPES, RED  (5# CASE)</v>
      </c>
      <c r="F6" s="55">
        <f>(VLOOKUP($B6,'Master Item List'!$A$1:$V$320,13,FALSE)+VLOOKUP($E6,'Master Item List'!$A$1:$V$320,13,FALSE)/2)</f>
        <v>27.273802681992336</v>
      </c>
      <c r="G6" s="55">
        <f t="shared" si="0"/>
        <v>34.092253352490417</v>
      </c>
      <c r="H6" s="55">
        <f t="shared" si="1"/>
        <v>35.455943486590037</v>
      </c>
      <c r="I6" s="55">
        <f t="shared" si="2"/>
        <v>36.819633620689658</v>
      </c>
      <c r="J6" s="55">
        <f t="shared" si="3"/>
        <v>38.183323754789271</v>
      </c>
      <c r="K6" s="56">
        <f t="shared" si="4"/>
        <v>36.25</v>
      </c>
      <c r="L6" s="56">
        <f t="shared" si="5"/>
        <v>37.75</v>
      </c>
      <c r="M6" s="56">
        <f t="shared" si="6"/>
        <v>39</v>
      </c>
      <c r="N6" s="56">
        <f t="shared" si="7"/>
        <v>40.5</v>
      </c>
      <c r="P6" s="57" t="s">
        <v>558</v>
      </c>
    </row>
    <row r="7" spans="1:34" s="57" customFormat="1" ht="23" customHeight="1" x14ac:dyDescent="0.2">
      <c r="A7" s="19" t="s">
        <v>490</v>
      </c>
      <c r="B7" s="19" t="s">
        <v>495</v>
      </c>
      <c r="C7" s="12"/>
      <c r="D7" s="12"/>
      <c r="E7" s="19" t="s">
        <v>491</v>
      </c>
      <c r="F7" s="53" t="e">
        <f>(VLOOKUP($B7,'Master Item List'!$A$1:$V$320,13,FALSE)+VLOOKUP($E7,'Master Item List'!$A$1:$V$320,13,FALSE))/2</f>
        <v>#N/A</v>
      </c>
      <c r="G7" s="53" t="e">
        <f t="shared" si="0"/>
        <v>#N/A</v>
      </c>
      <c r="H7" s="53" t="e">
        <f t="shared" si="1"/>
        <v>#N/A</v>
      </c>
      <c r="I7" s="53" t="e">
        <f t="shared" si="2"/>
        <v>#N/A</v>
      </c>
      <c r="J7" s="53" t="e">
        <f t="shared" si="3"/>
        <v>#N/A</v>
      </c>
      <c r="K7" s="54" t="e">
        <f t="shared" si="4"/>
        <v>#N/A</v>
      </c>
      <c r="L7" s="54" t="e">
        <f t="shared" si="5"/>
        <v>#N/A</v>
      </c>
      <c r="M7" s="54" t="e">
        <f t="shared" si="6"/>
        <v>#N/A</v>
      </c>
      <c r="N7" s="54" t="e">
        <f t="shared" si="7"/>
        <v>#N/A</v>
      </c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</row>
    <row r="8" spans="1:34" ht="23" customHeight="1" x14ac:dyDescent="0.2">
      <c r="A8" s="19" t="s">
        <v>483</v>
      </c>
      <c r="B8" s="19" t="s">
        <v>510</v>
      </c>
      <c r="C8" s="12"/>
      <c r="D8" s="12"/>
      <c r="E8" s="19" t="s">
        <v>521</v>
      </c>
      <c r="F8" s="53">
        <f>(VLOOKUP($B8,'Master Item List'!$A$1:$V$320,13,FALSE)+VLOOKUP($E8,'Master Item List'!$A$1:$V$320,13,FALSE))/2</f>
        <v>22.273611111111116</v>
      </c>
      <c r="G8" s="53">
        <f t="shared" si="0"/>
        <v>27.842013888888893</v>
      </c>
      <c r="H8" s="53">
        <f t="shared" si="1"/>
        <v>28.95569444444445</v>
      </c>
      <c r="I8" s="53">
        <f t="shared" si="2"/>
        <v>30.069375000000008</v>
      </c>
      <c r="J8" s="53">
        <f t="shared" si="3"/>
        <v>31.183055555555558</v>
      </c>
      <c r="K8" s="54">
        <f t="shared" si="4"/>
        <v>30</v>
      </c>
      <c r="L8" s="54">
        <f t="shared" si="5"/>
        <v>31.25</v>
      </c>
      <c r="M8" s="54">
        <f t="shared" si="6"/>
        <v>32.25</v>
      </c>
      <c r="N8" s="54">
        <f t="shared" si="7"/>
        <v>33.5</v>
      </c>
    </row>
    <row r="9" spans="1:34" ht="23" customHeight="1" x14ac:dyDescent="0.2">
      <c r="A9" s="19" t="s">
        <v>477</v>
      </c>
      <c r="B9" s="19" t="s">
        <v>510</v>
      </c>
      <c r="C9" s="12"/>
      <c r="D9" s="12"/>
      <c r="E9" s="19" t="s">
        <v>544</v>
      </c>
      <c r="F9" s="53">
        <f>(VLOOKUP($B9,'Master Item List'!$A$1:$V$320,13,FALSE)+VLOOKUP($E9,'Master Item List'!$A$1:$V$320,13,FALSE))/2</f>
        <v>20.426797385620915</v>
      </c>
      <c r="G9" s="53">
        <f t="shared" si="0"/>
        <v>25.533496732026144</v>
      </c>
      <c r="H9" s="53">
        <f t="shared" si="1"/>
        <v>26.554836601307191</v>
      </c>
      <c r="I9" s="53">
        <f t="shared" si="2"/>
        <v>27.576176470588237</v>
      </c>
      <c r="J9" s="53">
        <f t="shared" si="3"/>
        <v>28.59751633986928</v>
      </c>
      <c r="K9" s="54">
        <f t="shared" si="4"/>
        <v>27.75</v>
      </c>
      <c r="L9" s="54">
        <f t="shared" si="5"/>
        <v>28.75</v>
      </c>
      <c r="M9" s="54">
        <f t="shared" si="6"/>
        <v>29.75</v>
      </c>
      <c r="N9" s="54">
        <f t="shared" si="7"/>
        <v>30.75</v>
      </c>
    </row>
    <row r="10" spans="1:34" ht="23" customHeight="1" x14ac:dyDescent="0.2">
      <c r="A10" s="19" t="s">
        <v>604</v>
      </c>
      <c r="B10" s="19" t="s">
        <v>510</v>
      </c>
      <c r="C10" s="12"/>
      <c r="D10" s="12"/>
      <c r="E10" s="19" t="str">
        <f>'Master Item List'!A309</f>
        <v>RICE 50/6OZ</v>
      </c>
      <c r="F10" s="53">
        <f>(VLOOKUP($B10,'Master Item List'!$A$1:$V$320,13,FALSE)+VLOOKUP($E10,'Master Item List'!$A$1:$V$320,13,FALSE))/2</f>
        <v>43.369444444444447</v>
      </c>
      <c r="G10" s="53">
        <f t="shared" si="0"/>
        <v>54.211805555555557</v>
      </c>
      <c r="H10" s="53">
        <f t="shared" si="1"/>
        <v>56.380277777777785</v>
      </c>
      <c r="I10" s="53">
        <f t="shared" si="2"/>
        <v>58.548750000000005</v>
      </c>
      <c r="J10" s="53">
        <f t="shared" si="3"/>
        <v>60.717222222222219</v>
      </c>
      <c r="K10" s="54">
        <f t="shared" ref="K10:K36" si="12">MROUND(G10,0.25)+2.25</f>
        <v>56.5</v>
      </c>
      <c r="L10" s="54">
        <f t="shared" ref="L10:L36" si="13">MROUND(H10,0.25)+2.25</f>
        <v>58.75</v>
      </c>
      <c r="M10" s="54">
        <f t="shared" ref="M10:M36" si="14">MROUND(I10,0.25)+2.25</f>
        <v>60.75</v>
      </c>
      <c r="N10" s="54">
        <f t="shared" ref="N10:N36" si="15">MROUND(J10,0.25)+2.25</f>
        <v>63</v>
      </c>
    </row>
    <row r="11" spans="1:34" ht="23" customHeight="1" x14ac:dyDescent="0.2">
      <c r="A11" s="19" t="s">
        <v>605</v>
      </c>
      <c r="B11" s="19" t="s">
        <v>63</v>
      </c>
      <c r="C11" s="12"/>
      <c r="D11" s="12"/>
      <c r="E11" s="58" t="str">
        <f>'Master Item List'!A61</f>
        <v>GRAPES, RED  (5# CASE)</v>
      </c>
      <c r="F11" s="53">
        <f>(VLOOKUP($B11,'Master Item List'!$A$1:$V$320,13,FALSE)+VLOOKUP($E11,'Master Item List'!$A$1:$V$320,13,FALSE))</f>
        <v>40.407189542483664</v>
      </c>
      <c r="G11" s="53">
        <f t="shared" si="0"/>
        <v>50.508986928104576</v>
      </c>
      <c r="H11" s="53">
        <f t="shared" si="1"/>
        <v>52.529346405228765</v>
      </c>
      <c r="I11" s="53">
        <f t="shared" si="2"/>
        <v>54.549705882352953</v>
      </c>
      <c r="J11" s="53">
        <f t="shared" si="3"/>
        <v>56.570065359477127</v>
      </c>
      <c r="K11" s="54">
        <f t="shared" si="12"/>
        <v>52.75</v>
      </c>
      <c r="L11" s="54">
        <f t="shared" si="13"/>
        <v>54.75</v>
      </c>
      <c r="M11" s="54">
        <f t="shared" si="14"/>
        <v>56.75</v>
      </c>
      <c r="N11" s="54">
        <f t="shared" si="15"/>
        <v>58.75</v>
      </c>
    </row>
    <row r="12" spans="1:34" ht="23" customHeight="1" x14ac:dyDescent="0.2">
      <c r="A12" s="19" t="s">
        <v>486</v>
      </c>
      <c r="B12" s="19" t="s">
        <v>63</v>
      </c>
      <c r="C12" s="12"/>
      <c r="D12" s="12"/>
      <c r="E12" s="52" t="s">
        <v>86</v>
      </c>
      <c r="F12" s="53">
        <f>(VLOOKUP($B12,'Master Item List'!$A$1:$V$320,13,FALSE)+VLOOKUP($E12,'Master Item List'!$A$1:$V$320,13,FALSE))/2</f>
        <v>23.23937254901961</v>
      </c>
      <c r="G12" s="53">
        <f t="shared" si="0"/>
        <v>29.049215686274511</v>
      </c>
      <c r="H12" s="53">
        <f t="shared" si="1"/>
        <v>30.211184313725493</v>
      </c>
      <c r="I12" s="53">
        <f t="shared" si="2"/>
        <v>31.373152941176475</v>
      </c>
      <c r="J12" s="53">
        <f t="shared" si="3"/>
        <v>32.535121568627453</v>
      </c>
      <c r="K12" s="54">
        <f t="shared" si="12"/>
        <v>31.25</v>
      </c>
      <c r="L12" s="54">
        <f t="shared" si="13"/>
        <v>32.5</v>
      </c>
      <c r="M12" s="54">
        <f t="shared" si="14"/>
        <v>33.5</v>
      </c>
      <c r="N12" s="54">
        <f t="shared" si="15"/>
        <v>34.75</v>
      </c>
    </row>
    <row r="13" spans="1:34" ht="23" customHeight="1" x14ac:dyDescent="0.2">
      <c r="A13" s="19" t="s">
        <v>606</v>
      </c>
      <c r="B13" s="19" t="s">
        <v>63</v>
      </c>
      <c r="C13" s="12"/>
      <c r="D13" s="12"/>
      <c r="E13" s="19" t="s">
        <v>489</v>
      </c>
      <c r="F13" s="53">
        <f>(VLOOKUP($B13,'Master Item List'!$A$1:$V$320,13,FALSE)+VLOOKUP($E13,'Master Item List'!$A$1:$V$320,13,FALSE))/2</f>
        <v>22.491811145510837</v>
      </c>
      <c r="G13" s="53">
        <f t="shared" si="0"/>
        <v>28.114763931888547</v>
      </c>
      <c r="H13" s="53">
        <f t="shared" si="1"/>
        <v>29.239354489164089</v>
      </c>
      <c r="I13" s="53">
        <f t="shared" si="2"/>
        <v>30.363945046439632</v>
      </c>
      <c r="J13" s="53">
        <f t="shared" si="3"/>
        <v>31.488535603715171</v>
      </c>
      <c r="K13" s="54">
        <f t="shared" si="12"/>
        <v>30.25</v>
      </c>
      <c r="L13" s="54">
        <f t="shared" si="13"/>
        <v>31.5</v>
      </c>
      <c r="M13" s="54">
        <f t="shared" si="14"/>
        <v>32.5</v>
      </c>
      <c r="N13" s="54">
        <f t="shared" si="15"/>
        <v>33.75</v>
      </c>
    </row>
    <row r="14" spans="1:34" ht="23" customHeight="1" x14ac:dyDescent="0.2">
      <c r="A14" s="19" t="s">
        <v>478</v>
      </c>
      <c r="B14" s="19" t="s">
        <v>454</v>
      </c>
      <c r="C14" s="12"/>
      <c r="D14" s="12"/>
      <c r="E14" s="19" t="s">
        <v>510</v>
      </c>
      <c r="F14" s="53" t="e">
        <f>(VLOOKUP($B14,'Master Item List'!$A$1:$V$320,13,FALSE)+VLOOKUP($E14,'Master Item List'!$A$1:$V$320,13,FALSE))/2</f>
        <v>#N/A</v>
      </c>
      <c r="G14" s="53" t="e">
        <f t="shared" si="0"/>
        <v>#N/A</v>
      </c>
      <c r="H14" s="53" t="e">
        <f t="shared" si="1"/>
        <v>#N/A</v>
      </c>
      <c r="I14" s="53" t="e">
        <f t="shared" si="2"/>
        <v>#N/A</v>
      </c>
      <c r="J14" s="53" t="e">
        <f t="shared" si="3"/>
        <v>#N/A</v>
      </c>
      <c r="K14" s="54" t="e">
        <f t="shared" si="12"/>
        <v>#N/A</v>
      </c>
      <c r="L14" s="54" t="e">
        <f t="shared" si="13"/>
        <v>#N/A</v>
      </c>
      <c r="M14" s="54" t="e">
        <f t="shared" si="14"/>
        <v>#N/A</v>
      </c>
      <c r="N14" s="54" t="e">
        <f t="shared" si="15"/>
        <v>#N/A</v>
      </c>
    </row>
    <row r="15" spans="1:34" ht="23" customHeight="1" x14ac:dyDescent="0.2">
      <c r="A15" s="19" t="s">
        <v>557</v>
      </c>
      <c r="B15" s="19" t="s">
        <v>454</v>
      </c>
      <c r="C15" s="12"/>
      <c r="D15" s="12"/>
      <c r="E15" s="19" t="s">
        <v>522</v>
      </c>
      <c r="F15" s="53" t="e">
        <f>(VLOOKUP($B15,'Master Item List'!$A$1:$V$320,13,FALSE)+VLOOKUP($E15,'Master Item List'!$A$1:$V$320,13,FALSE))/2</f>
        <v>#N/A</v>
      </c>
      <c r="G15" s="53" t="e">
        <f t="shared" si="0"/>
        <v>#N/A</v>
      </c>
      <c r="H15" s="53" t="e">
        <f t="shared" si="1"/>
        <v>#N/A</v>
      </c>
      <c r="I15" s="53" t="e">
        <f t="shared" si="2"/>
        <v>#N/A</v>
      </c>
      <c r="J15" s="53" t="e">
        <f t="shared" si="3"/>
        <v>#N/A</v>
      </c>
      <c r="K15" s="54" t="e">
        <f t="shared" si="12"/>
        <v>#N/A</v>
      </c>
      <c r="L15" s="54" t="e">
        <f t="shared" si="13"/>
        <v>#N/A</v>
      </c>
      <c r="M15" s="54" t="e">
        <f t="shared" si="14"/>
        <v>#N/A</v>
      </c>
      <c r="N15" s="54" t="e">
        <f t="shared" si="15"/>
        <v>#N/A</v>
      </c>
    </row>
    <row r="16" spans="1:34" ht="23" customHeight="1" x14ac:dyDescent="0.2">
      <c r="A16" s="19" t="s">
        <v>615</v>
      </c>
      <c r="B16" s="19" t="s">
        <v>454</v>
      </c>
      <c r="C16" s="12"/>
      <c r="D16" s="12"/>
      <c r="E16" s="19" t="s">
        <v>544</v>
      </c>
      <c r="F16" s="53" t="e">
        <f>(VLOOKUP($B16,'Master Item List'!$A$1:$V$320,13,FALSE)+VLOOKUP($E16,'Master Item List'!$A$1:$V$320,13,FALSE))/2</f>
        <v>#N/A</v>
      </c>
      <c r="G16" s="53" t="e">
        <f t="shared" si="0"/>
        <v>#N/A</v>
      </c>
      <c r="H16" s="53" t="e">
        <f t="shared" si="1"/>
        <v>#N/A</v>
      </c>
      <c r="I16" s="53" t="e">
        <f t="shared" si="2"/>
        <v>#N/A</v>
      </c>
      <c r="J16" s="53" t="e">
        <f t="shared" si="3"/>
        <v>#N/A</v>
      </c>
      <c r="K16" s="54" t="e">
        <f t="shared" ref="K16" si="16">MROUND(G16,0.25)+2.25</f>
        <v>#N/A</v>
      </c>
      <c r="L16" s="54" t="e">
        <f t="shared" ref="L16" si="17">MROUND(H16,0.25)+2.25</f>
        <v>#N/A</v>
      </c>
      <c r="M16" s="54" t="e">
        <f t="shared" ref="M16" si="18">MROUND(I16,0.25)+2.25</f>
        <v>#N/A</v>
      </c>
      <c r="N16" s="54" t="e">
        <f t="shared" ref="N16" si="19">MROUND(J16,0.25)+2.25</f>
        <v>#N/A</v>
      </c>
    </row>
    <row r="17" spans="1:14" ht="23" customHeight="1" x14ac:dyDescent="0.2">
      <c r="A17" s="19" t="s">
        <v>556</v>
      </c>
      <c r="B17" s="19" t="s">
        <v>454</v>
      </c>
      <c r="C17" s="12"/>
      <c r="D17" s="12"/>
      <c r="E17" s="52" t="s">
        <v>116</v>
      </c>
      <c r="F17" s="53" t="e">
        <f>(VLOOKUP($B17,'Master Item List'!$A$1:$V$320,13,FALSE)+VLOOKUP($E17,'Master Item List'!$A$1:$V$320,13,FALSE))/2</f>
        <v>#N/A</v>
      </c>
      <c r="G17" s="53" t="e">
        <f t="shared" si="0"/>
        <v>#N/A</v>
      </c>
      <c r="H17" s="53" t="e">
        <f t="shared" si="1"/>
        <v>#N/A</v>
      </c>
      <c r="I17" s="53" t="e">
        <f t="shared" si="2"/>
        <v>#N/A</v>
      </c>
      <c r="J17" s="53" t="e">
        <f t="shared" si="3"/>
        <v>#N/A</v>
      </c>
      <c r="K17" s="54" t="e">
        <f t="shared" si="12"/>
        <v>#N/A</v>
      </c>
      <c r="L17" s="54" t="e">
        <f t="shared" si="13"/>
        <v>#N/A</v>
      </c>
      <c r="M17" s="54" t="e">
        <f t="shared" si="14"/>
        <v>#N/A</v>
      </c>
      <c r="N17" s="54" t="e">
        <f t="shared" si="15"/>
        <v>#N/A</v>
      </c>
    </row>
    <row r="18" spans="1:14" ht="23" customHeight="1" x14ac:dyDescent="0.2">
      <c r="A18" s="19" t="s">
        <v>607</v>
      </c>
      <c r="B18" s="19" t="s">
        <v>454</v>
      </c>
      <c r="C18" s="12"/>
      <c r="D18" s="12"/>
      <c r="E18" s="19" t="str">
        <f>'Master Item List'!A309</f>
        <v>RICE 50/6OZ</v>
      </c>
      <c r="F18" s="53" t="e">
        <f>(VLOOKUP($B18,'Master Item List'!$A$1:$V$320,13,FALSE)+VLOOKUP($E18,'Master Item List'!$A$1:$V$320,13,FALSE))/2</f>
        <v>#N/A</v>
      </c>
      <c r="G18" s="53" t="e">
        <f t="shared" si="0"/>
        <v>#N/A</v>
      </c>
      <c r="H18" s="53" t="e">
        <f t="shared" si="1"/>
        <v>#N/A</v>
      </c>
      <c r="I18" s="53" t="e">
        <f t="shared" si="2"/>
        <v>#N/A</v>
      </c>
      <c r="J18" s="53" t="e">
        <f t="shared" si="3"/>
        <v>#N/A</v>
      </c>
      <c r="K18" s="54" t="e">
        <f t="shared" si="12"/>
        <v>#N/A</v>
      </c>
      <c r="L18" s="54" t="e">
        <f t="shared" si="13"/>
        <v>#N/A</v>
      </c>
      <c r="M18" s="54" t="e">
        <f t="shared" si="14"/>
        <v>#N/A</v>
      </c>
      <c r="N18" s="54" t="e">
        <f t="shared" si="15"/>
        <v>#N/A</v>
      </c>
    </row>
    <row r="19" spans="1:14" ht="23" customHeight="1" x14ac:dyDescent="0.2">
      <c r="A19" s="19" t="s">
        <v>608</v>
      </c>
      <c r="B19" s="19" t="s">
        <v>521</v>
      </c>
      <c r="C19" s="12"/>
      <c r="D19" s="12"/>
      <c r="E19" s="19" t="s">
        <v>544</v>
      </c>
      <c r="F19" s="53">
        <f>(VLOOKUP($B19,'Master Item List'!$A$1:$V$320,13,FALSE)+VLOOKUP($E19,'Master Item List'!$A$1:$V$320,13,FALSE))/2</f>
        <v>24.33651960784314</v>
      </c>
      <c r="G19" s="53">
        <f t="shared" si="0"/>
        <v>30.420649509803926</v>
      </c>
      <c r="H19" s="53">
        <f t="shared" si="1"/>
        <v>31.637475490196085</v>
      </c>
      <c r="I19" s="53">
        <f t="shared" si="2"/>
        <v>32.85430147058824</v>
      </c>
      <c r="J19" s="53">
        <f t="shared" si="3"/>
        <v>34.071127450980391</v>
      </c>
      <c r="K19" s="54">
        <f t="shared" si="12"/>
        <v>32.75</v>
      </c>
      <c r="L19" s="54">
        <f t="shared" si="13"/>
        <v>34</v>
      </c>
      <c r="M19" s="54">
        <f t="shared" si="14"/>
        <v>35</v>
      </c>
      <c r="N19" s="54">
        <f t="shared" si="15"/>
        <v>36.25</v>
      </c>
    </row>
    <row r="20" spans="1:14" ht="23" customHeight="1" x14ac:dyDescent="0.2">
      <c r="A20" s="21" t="s">
        <v>473</v>
      </c>
      <c r="B20" s="19" t="s">
        <v>522</v>
      </c>
      <c r="C20" s="12"/>
      <c r="D20" s="12"/>
      <c r="E20" s="19" t="s">
        <v>544</v>
      </c>
      <c r="F20" s="53">
        <f>(VLOOKUP($B20,'Master Item List'!$A$1:$V$320,13,FALSE)+VLOOKUP($E20,'Master Item List'!$A$1:$V$320,13,FALSE))/2</f>
        <v>19.772040441176472</v>
      </c>
      <c r="G20" s="53">
        <f t="shared" si="0"/>
        <v>24.71505055147059</v>
      </c>
      <c r="H20" s="53">
        <f t="shared" si="1"/>
        <v>25.703652573529414</v>
      </c>
      <c r="I20" s="53">
        <f t="shared" si="2"/>
        <v>26.692254595588238</v>
      </c>
      <c r="J20" s="53">
        <f t="shared" si="3"/>
        <v>27.680856617647059</v>
      </c>
      <c r="K20" s="54">
        <f t="shared" si="12"/>
        <v>27</v>
      </c>
      <c r="L20" s="54">
        <f t="shared" si="13"/>
        <v>28</v>
      </c>
      <c r="M20" s="54">
        <f t="shared" si="14"/>
        <v>29</v>
      </c>
      <c r="N20" s="54">
        <f t="shared" si="15"/>
        <v>30</v>
      </c>
    </row>
    <row r="21" spans="1:14" ht="23" customHeight="1" x14ac:dyDescent="0.2">
      <c r="A21" s="19" t="s">
        <v>474</v>
      </c>
      <c r="B21" s="19" t="s">
        <v>522</v>
      </c>
      <c r="C21" s="12"/>
      <c r="D21" s="12"/>
      <c r="E21" s="52" t="s">
        <v>116</v>
      </c>
      <c r="F21" s="53">
        <f>(VLOOKUP($B21,'Master Item List'!$A$1:$V$320,13,FALSE)+VLOOKUP($E21,'Master Item List'!$A$1:$V$320,13,FALSE))/2</f>
        <v>18.68328125</v>
      </c>
      <c r="G21" s="53">
        <f t="shared" si="0"/>
        <v>23.354101562499999</v>
      </c>
      <c r="H21" s="53">
        <f t="shared" si="1"/>
        <v>24.288265625000001</v>
      </c>
      <c r="I21" s="53">
        <f t="shared" si="2"/>
        <v>25.222429687500004</v>
      </c>
      <c r="J21" s="53">
        <f t="shared" si="3"/>
        <v>26.156593749999999</v>
      </c>
      <c r="K21" s="54">
        <f t="shared" si="12"/>
        <v>25.5</v>
      </c>
      <c r="L21" s="54">
        <f t="shared" si="13"/>
        <v>26.5</v>
      </c>
      <c r="M21" s="54">
        <f t="shared" si="14"/>
        <v>27.5</v>
      </c>
      <c r="N21" s="54">
        <f t="shared" si="15"/>
        <v>28.5</v>
      </c>
    </row>
    <row r="22" spans="1:14" ht="23" customHeight="1" x14ac:dyDescent="0.2">
      <c r="A22" s="19" t="s">
        <v>475</v>
      </c>
      <c r="B22" s="19" t="s">
        <v>522</v>
      </c>
      <c r="C22" s="12"/>
      <c r="D22" s="12"/>
      <c r="E22" s="52" t="str">
        <f>'Master Item List'!A61</f>
        <v>GRAPES, RED  (5# CASE)</v>
      </c>
      <c r="F22" s="53">
        <f>(VLOOKUP($B22,'Master Item List'!$A$1:$V$320,13,FALSE)+VLOOKUP($E22,'Master Item List'!$A$1:$V$320,13,FALSE))</f>
        <v>36.80715277777778</v>
      </c>
      <c r="G22" s="53">
        <f t="shared" si="0"/>
        <v>46.008940972222227</v>
      </c>
      <c r="H22" s="53">
        <f t="shared" si="1"/>
        <v>47.849298611111116</v>
      </c>
      <c r="I22" s="53">
        <f t="shared" si="2"/>
        <v>49.689656250000006</v>
      </c>
      <c r="J22" s="53">
        <f t="shared" si="3"/>
        <v>51.530013888888888</v>
      </c>
      <c r="K22" s="54">
        <f t="shared" si="12"/>
        <v>48.25</v>
      </c>
      <c r="L22" s="54">
        <f t="shared" si="13"/>
        <v>50</v>
      </c>
      <c r="M22" s="54">
        <f t="shared" si="14"/>
        <v>52</v>
      </c>
      <c r="N22" s="54">
        <f t="shared" si="15"/>
        <v>53.75</v>
      </c>
    </row>
    <row r="23" spans="1:14" ht="23" customHeight="1" x14ac:dyDescent="0.2">
      <c r="A23" s="19" t="s">
        <v>492</v>
      </c>
      <c r="B23" s="19" t="s">
        <v>539</v>
      </c>
      <c r="C23" s="12"/>
      <c r="D23" s="12"/>
      <c r="E23" s="19" t="s">
        <v>489</v>
      </c>
      <c r="F23" s="53">
        <f>(VLOOKUP($B23,'Master Item List'!$A$1:$V$320,13,FALSE)+VLOOKUP($E23,'Master Item List'!$A$1:$V$320,13,FALSE))/2</f>
        <v>21.589605263157896</v>
      </c>
      <c r="G23" s="53">
        <f t="shared" si="0"/>
        <v>26.987006578947369</v>
      </c>
      <c r="H23" s="53">
        <f t="shared" si="1"/>
        <v>28.066486842105267</v>
      </c>
      <c r="I23" s="53">
        <f t="shared" si="2"/>
        <v>29.145967105263161</v>
      </c>
      <c r="J23" s="53">
        <f t="shared" si="3"/>
        <v>30.225447368421051</v>
      </c>
      <c r="K23" s="54">
        <f t="shared" si="12"/>
        <v>29.25</v>
      </c>
      <c r="L23" s="54">
        <f t="shared" si="13"/>
        <v>30.25</v>
      </c>
      <c r="M23" s="54">
        <f t="shared" si="14"/>
        <v>31.5</v>
      </c>
      <c r="N23" s="54">
        <f t="shared" si="15"/>
        <v>32.5</v>
      </c>
    </row>
    <row r="24" spans="1:14" ht="23" customHeight="1" x14ac:dyDescent="0.2">
      <c r="A24" s="19" t="s">
        <v>609</v>
      </c>
      <c r="B24" s="59">
        <f>'Master Item List'!M61</f>
        <v>19.75277777777778</v>
      </c>
      <c r="C24" s="12"/>
      <c r="D24" s="12"/>
      <c r="E24" s="59">
        <f>'Master Item List'!M295</f>
        <v>20.490625000000001</v>
      </c>
      <c r="F24" s="53">
        <f>B24+E24</f>
        <v>40.243402777777781</v>
      </c>
      <c r="G24" s="53">
        <f t="shared" si="0"/>
        <v>50.304253472222229</v>
      </c>
      <c r="H24" s="53">
        <f t="shared" si="1"/>
        <v>52.316423611111119</v>
      </c>
      <c r="I24" s="53">
        <f t="shared" si="2"/>
        <v>54.32859375000001</v>
      </c>
      <c r="J24" s="53">
        <f t="shared" si="3"/>
        <v>56.340763888888887</v>
      </c>
      <c r="K24" s="54">
        <f t="shared" si="12"/>
        <v>52.5</v>
      </c>
      <c r="L24" s="54">
        <f t="shared" si="13"/>
        <v>54.5</v>
      </c>
      <c r="M24" s="54">
        <f t="shared" si="14"/>
        <v>56.5</v>
      </c>
      <c r="N24" s="54">
        <f t="shared" si="15"/>
        <v>58.5</v>
      </c>
    </row>
    <row r="25" spans="1:14" ht="23" customHeight="1" x14ac:dyDescent="0.2">
      <c r="A25" s="19" t="s">
        <v>476</v>
      </c>
      <c r="B25" s="19" t="s">
        <v>544</v>
      </c>
      <c r="C25" s="12"/>
      <c r="D25" s="12"/>
      <c r="E25" s="19" t="s">
        <v>513</v>
      </c>
      <c r="F25" s="53">
        <f>(VLOOKUP($B25,'Master Item List'!$A$1:$V$320,13,FALSE)+VLOOKUP($E25,'Master Item List'!$A$1:$V$320,13,FALSE))/2</f>
        <v>26.24790849673203</v>
      </c>
      <c r="G25" s="53">
        <f t="shared" si="0"/>
        <v>32.80988562091504</v>
      </c>
      <c r="H25" s="53">
        <f t="shared" si="1"/>
        <v>34.122281045751642</v>
      </c>
      <c r="I25" s="53">
        <f t="shared" si="2"/>
        <v>35.434676470588244</v>
      </c>
      <c r="J25" s="53">
        <f t="shared" si="3"/>
        <v>36.747071895424838</v>
      </c>
      <c r="K25" s="54">
        <f t="shared" si="12"/>
        <v>35</v>
      </c>
      <c r="L25" s="54">
        <f t="shared" si="13"/>
        <v>36.25</v>
      </c>
      <c r="M25" s="54">
        <f t="shared" si="14"/>
        <v>37.75</v>
      </c>
      <c r="N25" s="54">
        <f t="shared" si="15"/>
        <v>39</v>
      </c>
    </row>
    <row r="26" spans="1:14" ht="23" customHeight="1" x14ac:dyDescent="0.2">
      <c r="A26" s="21" t="s">
        <v>479</v>
      </c>
      <c r="B26" s="19" t="s">
        <v>544</v>
      </c>
      <c r="C26" s="12"/>
      <c r="D26" s="12"/>
      <c r="E26" s="19" t="s">
        <v>480</v>
      </c>
      <c r="F26" s="53">
        <f>(VLOOKUP($B26,'Master Item List'!$A$1:$V$320,13,FALSE)+VLOOKUP($E26,'Master Item List'!$A$1:$V$320,13,FALSE))/2</f>
        <v>25.357352941176472</v>
      </c>
      <c r="G26" s="53">
        <f t="shared" si="0"/>
        <v>31.696691176470591</v>
      </c>
      <c r="H26" s="53">
        <f t="shared" si="1"/>
        <v>32.964558823529416</v>
      </c>
      <c r="I26" s="53">
        <f t="shared" si="2"/>
        <v>34.232426470588237</v>
      </c>
      <c r="J26" s="53">
        <f t="shared" si="3"/>
        <v>35.500294117647059</v>
      </c>
      <c r="K26" s="54">
        <f t="shared" si="12"/>
        <v>34</v>
      </c>
      <c r="L26" s="54">
        <f t="shared" si="13"/>
        <v>35.25</v>
      </c>
      <c r="M26" s="54">
        <f t="shared" si="14"/>
        <v>36.5</v>
      </c>
      <c r="N26" s="54">
        <f t="shared" si="15"/>
        <v>37.75</v>
      </c>
    </row>
    <row r="27" spans="1:14" ht="23" customHeight="1" x14ac:dyDescent="0.2">
      <c r="A27" s="21" t="s">
        <v>610</v>
      </c>
      <c r="B27" s="52" t="s">
        <v>86</v>
      </c>
      <c r="C27" s="12"/>
      <c r="D27" s="12"/>
      <c r="E27" s="58" t="str">
        <f>'Master Item List'!A61</f>
        <v>GRAPES, RED  (5# CASE)</v>
      </c>
      <c r="F27" s="53">
        <f>(VLOOKUP($B27,'Master Item List'!$A$1:$V$320,13,FALSE)+VLOOKUP($E27,'Master Item List'!$A$1:$V$320,13,FALSE))</f>
        <v>45.577111111111115</v>
      </c>
      <c r="G27" s="53">
        <f t="shared" si="0"/>
        <v>56.971388888888896</v>
      </c>
      <c r="H27" s="53">
        <f t="shared" si="1"/>
        <v>59.250244444444455</v>
      </c>
      <c r="I27" s="53">
        <f t="shared" si="2"/>
        <v>61.529100000000007</v>
      </c>
      <c r="J27" s="53">
        <f t="shared" si="3"/>
        <v>63.807955555555559</v>
      </c>
      <c r="K27" s="54">
        <f t="shared" si="12"/>
        <v>59.25</v>
      </c>
      <c r="L27" s="54">
        <f t="shared" si="13"/>
        <v>61.5</v>
      </c>
      <c r="M27" s="54">
        <f t="shared" si="14"/>
        <v>63.75</v>
      </c>
      <c r="N27" s="54">
        <f t="shared" si="15"/>
        <v>66</v>
      </c>
    </row>
    <row r="28" spans="1:14" ht="23" customHeight="1" x14ac:dyDescent="0.2">
      <c r="A28" s="21" t="s">
        <v>611</v>
      </c>
      <c r="B28" s="52" t="s">
        <v>86</v>
      </c>
      <c r="C28" s="12"/>
      <c r="D28" s="12"/>
      <c r="E28" s="19" t="s">
        <v>489</v>
      </c>
      <c r="F28" s="53">
        <f>(VLOOKUP($B28,'Master Item List'!$A$1:$V$320,13,FALSE)+VLOOKUP($E28,'Master Item List'!$A$1:$V$320,13,FALSE))/2</f>
        <v>25.076771929824563</v>
      </c>
      <c r="G28" s="53">
        <f t="shared" si="0"/>
        <v>31.345964912280703</v>
      </c>
      <c r="H28" s="53">
        <f t="shared" si="1"/>
        <v>32.599803508771934</v>
      </c>
      <c r="I28" s="53">
        <f t="shared" si="2"/>
        <v>33.853642105263162</v>
      </c>
      <c r="J28" s="53">
        <f t="shared" si="3"/>
        <v>35.107480701754383</v>
      </c>
      <c r="K28" s="54">
        <f t="shared" si="12"/>
        <v>33.5</v>
      </c>
      <c r="L28" s="54">
        <f t="shared" si="13"/>
        <v>34.75</v>
      </c>
      <c r="M28" s="54">
        <f t="shared" si="14"/>
        <v>36</v>
      </c>
      <c r="N28" s="54">
        <f t="shared" si="15"/>
        <v>37.25</v>
      </c>
    </row>
    <row r="29" spans="1:14" ht="23" customHeight="1" x14ac:dyDescent="0.2">
      <c r="A29" s="21" t="s">
        <v>612</v>
      </c>
      <c r="B29" s="19" t="s">
        <v>550</v>
      </c>
      <c r="C29" s="12"/>
      <c r="D29" s="12"/>
      <c r="E29" s="52" t="str">
        <f>'Master Item List'!A61</f>
        <v>GRAPES, RED  (5# CASE)</v>
      </c>
      <c r="F29" s="53">
        <f>(VLOOKUP($B29,'Master Item List'!$A$1:$V$320,13,FALSE)+VLOOKUP($E29,'Master Item List'!$A$1:$V$320,13,FALSE))</f>
        <v>38.915277777777781</v>
      </c>
      <c r="G29" s="53">
        <f t="shared" si="0"/>
        <v>48.644097222222229</v>
      </c>
      <c r="H29" s="53">
        <f t="shared" si="1"/>
        <v>50.589861111111119</v>
      </c>
      <c r="I29" s="53">
        <f t="shared" si="2"/>
        <v>52.53562500000001</v>
      </c>
      <c r="J29" s="53">
        <f t="shared" si="3"/>
        <v>54.481388888888894</v>
      </c>
      <c r="K29" s="54">
        <f t="shared" si="12"/>
        <v>51</v>
      </c>
      <c r="L29" s="54">
        <f t="shared" si="13"/>
        <v>52.75</v>
      </c>
      <c r="M29" s="54">
        <f t="shared" si="14"/>
        <v>54.75</v>
      </c>
      <c r="N29" s="54">
        <f t="shared" si="15"/>
        <v>56.75</v>
      </c>
    </row>
    <row r="30" spans="1:14" ht="23" customHeight="1" x14ac:dyDescent="0.2">
      <c r="A30" s="19" t="s">
        <v>487</v>
      </c>
      <c r="B30" s="19" t="s">
        <v>550</v>
      </c>
      <c r="C30" s="12"/>
      <c r="D30" s="12"/>
      <c r="E30" s="19" t="s">
        <v>480</v>
      </c>
      <c r="F30" s="53">
        <f>(VLOOKUP($B30,'Master Item List'!$A$1:$V$320,13,FALSE)+VLOOKUP($E30,'Master Item List'!$A$1:$V$320,13,FALSE))/2</f>
        <v>23.693750000000001</v>
      </c>
      <c r="G30" s="53">
        <f t="shared" si="0"/>
        <v>29.6171875</v>
      </c>
      <c r="H30" s="53">
        <f t="shared" si="1"/>
        <v>30.801875000000003</v>
      </c>
      <c r="I30" s="53">
        <f t="shared" si="2"/>
        <v>31.986562500000005</v>
      </c>
      <c r="J30" s="53">
        <f t="shared" si="3"/>
        <v>33.171250000000001</v>
      </c>
      <c r="K30" s="54">
        <f t="shared" si="12"/>
        <v>31.75</v>
      </c>
      <c r="L30" s="54">
        <f t="shared" si="13"/>
        <v>33</v>
      </c>
      <c r="M30" s="54">
        <f t="shared" si="14"/>
        <v>34.25</v>
      </c>
      <c r="N30" s="54">
        <f t="shared" si="15"/>
        <v>35.5</v>
      </c>
    </row>
    <row r="31" spans="1:14" ht="23" customHeight="1" x14ac:dyDescent="0.2">
      <c r="A31" s="19" t="s">
        <v>488</v>
      </c>
      <c r="B31" s="19" t="s">
        <v>550</v>
      </c>
      <c r="C31" s="12"/>
      <c r="D31" s="12"/>
      <c r="E31" s="19" t="s">
        <v>489</v>
      </c>
      <c r="F31" s="53">
        <f>(VLOOKUP($B31,'Master Item List'!$A$1:$V$320,13,FALSE)+VLOOKUP($E31,'Master Item List'!$A$1:$V$320,13,FALSE))/2</f>
        <v>21.745855263157896</v>
      </c>
      <c r="G31" s="53">
        <f t="shared" si="0"/>
        <v>27.182319078947369</v>
      </c>
      <c r="H31" s="53">
        <f t="shared" si="1"/>
        <v>28.269611842105267</v>
      </c>
      <c r="I31" s="53">
        <f t="shared" si="2"/>
        <v>29.356904605263161</v>
      </c>
      <c r="J31" s="53">
        <f t="shared" si="3"/>
        <v>30.444197368421051</v>
      </c>
      <c r="K31" s="54">
        <f t="shared" si="12"/>
        <v>29.5</v>
      </c>
      <c r="L31" s="54">
        <f t="shared" si="13"/>
        <v>30.5</v>
      </c>
      <c r="M31" s="54">
        <f t="shared" si="14"/>
        <v>31.5</v>
      </c>
      <c r="N31" s="54">
        <f t="shared" si="15"/>
        <v>32.75</v>
      </c>
    </row>
    <row r="32" spans="1:14" ht="23" customHeight="1" x14ac:dyDescent="0.2">
      <c r="A32" s="19" t="s">
        <v>572</v>
      </c>
      <c r="B32" s="52" t="str">
        <f>'Master Item List'!A290</f>
        <v>MINI SWEET PEPPER  W/RANCH 50/2OZ</v>
      </c>
      <c r="C32" s="12"/>
      <c r="D32" s="12"/>
      <c r="E32" s="58" t="str">
        <f>'Master Item List'!A61</f>
        <v>GRAPES, RED  (5# CASE)</v>
      </c>
      <c r="F32" s="53">
        <f>(VLOOKUP($B32,'Master Item List'!$A$1:$V$320,13,FALSE)+VLOOKUP($E32,'Master Item List'!$A$1:$V$320,13,FALSE))</f>
        <v>72.827777777777783</v>
      </c>
      <c r="G32" s="53">
        <f t="shared" si="0"/>
        <v>91.034722222222229</v>
      </c>
      <c r="H32" s="53">
        <f t="shared" si="1"/>
        <v>94.676111111111126</v>
      </c>
      <c r="I32" s="53">
        <f t="shared" si="2"/>
        <v>98.31750000000001</v>
      </c>
      <c r="J32" s="53">
        <f t="shared" si="3"/>
        <v>101.95888888888889</v>
      </c>
      <c r="K32" s="54">
        <f t="shared" si="12"/>
        <v>93.25</v>
      </c>
      <c r="L32" s="54">
        <f t="shared" si="13"/>
        <v>97</v>
      </c>
      <c r="M32" s="54">
        <f t="shared" si="14"/>
        <v>100.5</v>
      </c>
      <c r="N32" s="54">
        <f t="shared" si="15"/>
        <v>104.25</v>
      </c>
    </row>
    <row r="33" spans="1:14" ht="23" customHeight="1" x14ac:dyDescent="0.2">
      <c r="A33" s="19" t="s">
        <v>613</v>
      </c>
      <c r="B33" s="52" t="str">
        <f>'Master Item List'!A293</f>
        <v>PAPAYA, CHUNKS SNAKPAK (50/2oz)</v>
      </c>
      <c r="C33" s="12"/>
      <c r="D33" s="12"/>
      <c r="E33" s="19" t="str">
        <f>'Master Item List'!A309</f>
        <v>RICE 50/6OZ</v>
      </c>
      <c r="F33" s="53">
        <f>(VLOOKUP($B33,'Master Item List'!$A$1:$V$320,13,FALSE)+VLOOKUP($E33,'Master Item List'!$A$1:$V$320,13,FALSE))/2</f>
        <v>49.237499999999997</v>
      </c>
      <c r="G33" s="53">
        <f t="shared" si="0"/>
        <v>61.546875</v>
      </c>
      <c r="H33" s="53">
        <f t="shared" si="1"/>
        <v>64.008749999999992</v>
      </c>
      <c r="I33" s="53">
        <f t="shared" si="2"/>
        <v>66.470624999999998</v>
      </c>
      <c r="J33" s="53">
        <f t="shared" si="3"/>
        <v>68.93249999999999</v>
      </c>
      <c r="K33" s="54">
        <f t="shared" si="12"/>
        <v>63.75</v>
      </c>
      <c r="L33" s="54">
        <f t="shared" si="13"/>
        <v>66.25</v>
      </c>
      <c r="M33" s="54">
        <f t="shared" si="14"/>
        <v>68.75</v>
      </c>
      <c r="N33" s="54">
        <f t="shared" si="15"/>
        <v>71.25</v>
      </c>
    </row>
    <row r="34" spans="1:14" ht="23" customHeight="1" x14ac:dyDescent="0.2">
      <c r="A34" s="19" t="s">
        <v>614</v>
      </c>
      <c r="B34" s="52" t="str">
        <f>'Master Item List'!A301</f>
        <v>PEPPER STICK, RED, YELLOW W/ RANCH  (50 X 2oz)</v>
      </c>
      <c r="C34" s="12"/>
      <c r="D34" s="12"/>
      <c r="E34" s="52" t="str">
        <f>'Master Item List'!A195</f>
        <v xml:space="preserve">BROCCOLI &amp; CAULIFLOWER MIX (50 X 2oz) </v>
      </c>
      <c r="F34" s="53">
        <f>(VLOOKUP($B34,'Master Item List'!$A$1:$V$320,13,FALSE)+VLOOKUP($E34,'Master Item List'!$A$1:$V$320,13,FALSE))/2</f>
        <v>21.80850439133987</v>
      </c>
      <c r="G34" s="53">
        <f t="shared" si="0"/>
        <v>27.260630489174837</v>
      </c>
      <c r="H34" s="53">
        <f t="shared" si="1"/>
        <v>28.351055708741832</v>
      </c>
      <c r="I34" s="53">
        <f t="shared" si="2"/>
        <v>29.441480928308827</v>
      </c>
      <c r="J34" s="53">
        <f t="shared" si="3"/>
        <v>30.531906147875816</v>
      </c>
      <c r="K34" s="54">
        <f t="shared" si="12"/>
        <v>29.5</v>
      </c>
      <c r="L34" s="54">
        <f t="shared" si="13"/>
        <v>30.5</v>
      </c>
      <c r="M34" s="54">
        <f t="shared" si="14"/>
        <v>31.75</v>
      </c>
      <c r="N34" s="54">
        <f t="shared" si="15"/>
        <v>32.75</v>
      </c>
    </row>
    <row r="35" spans="1:14" ht="23" hidden="1" customHeight="1" x14ac:dyDescent="0.2">
      <c r="A35" s="19" t="s">
        <v>576</v>
      </c>
      <c r="B35" s="59" t="str">
        <f>'Master Item List'!A112</f>
        <v>PEPPER, RED WHOLE (5# CASE)</v>
      </c>
      <c r="C35" s="12"/>
      <c r="D35" s="12"/>
      <c r="E35" s="58" t="str">
        <f>'Master Item List'!A115</f>
        <v>PEPPER, YELLOW DICED (10# TRAY)</v>
      </c>
      <c r="F35" s="53">
        <f>(VLOOKUP($B35,'Master Item List'!$A$1:$V$320,13,FALSE)+VLOOKUP($E35,'Master Item List'!$A$1:$V$320,13,FALSE))/2</f>
        <v>24.572499999999998</v>
      </c>
      <c r="G35" s="53">
        <f t="shared" si="0"/>
        <v>30.715624999999996</v>
      </c>
      <c r="H35" s="53">
        <f t="shared" si="1"/>
        <v>31.94425</v>
      </c>
      <c r="I35" s="53">
        <f t="shared" si="2"/>
        <v>33.172874999999998</v>
      </c>
      <c r="J35" s="53">
        <f t="shared" si="3"/>
        <v>34.401499999999992</v>
      </c>
      <c r="K35" s="54">
        <f t="shared" si="12"/>
        <v>33</v>
      </c>
      <c r="L35" s="54">
        <f t="shared" si="13"/>
        <v>34.25</v>
      </c>
      <c r="M35" s="54">
        <f t="shared" si="14"/>
        <v>35.5</v>
      </c>
      <c r="N35" s="54">
        <f t="shared" si="15"/>
        <v>36.75</v>
      </c>
    </row>
    <row r="36" spans="1:14" ht="23" customHeight="1" x14ac:dyDescent="0.2">
      <c r="A36" s="21" t="s">
        <v>587</v>
      </c>
      <c r="B36" s="52" t="str">
        <f>'Master Item List'!A181</f>
        <v>APPLE, TURNIPS MIX (50 X 2oz)</v>
      </c>
      <c r="C36" s="12"/>
      <c r="D36" s="12"/>
      <c r="E36" s="52" t="str">
        <f>'Master Item List'!A61</f>
        <v>GRAPES, RED  (5# CASE)</v>
      </c>
      <c r="F36" s="53">
        <f>(VLOOKUP($B36,'Master Item List'!$A$1:$V$320,13,FALSE)+VLOOKUP($E36,'Master Item List'!$A$1:$V$320,13,FALSE))</f>
        <v>41.08038793103448</v>
      </c>
      <c r="G36" s="53">
        <f t="shared" si="0"/>
        <v>51.350484913793096</v>
      </c>
      <c r="H36" s="53">
        <f t="shared" si="1"/>
        <v>53.404504310344826</v>
      </c>
      <c r="I36" s="53">
        <f t="shared" si="2"/>
        <v>55.45852370689655</v>
      </c>
      <c r="J36" s="53">
        <f t="shared" si="3"/>
        <v>57.512543103448266</v>
      </c>
      <c r="K36" s="54">
        <f t="shared" si="12"/>
        <v>53.5</v>
      </c>
      <c r="L36" s="54">
        <f t="shared" si="13"/>
        <v>55.75</v>
      </c>
      <c r="M36" s="54">
        <f t="shared" si="14"/>
        <v>57.75</v>
      </c>
      <c r="N36" s="54">
        <f t="shared" si="15"/>
        <v>59.75</v>
      </c>
    </row>
    <row r="37" spans="1:14" ht="23" customHeight="1" x14ac:dyDescent="0.2">
      <c r="A37" s="21" t="s">
        <v>626</v>
      </c>
      <c r="B37" s="52" t="str">
        <f>'Master Item List'!A301</f>
        <v>PEPPER STICK, RED, YELLOW W/ RANCH  (50 X 2oz)</v>
      </c>
      <c r="C37" s="12"/>
      <c r="D37" s="12"/>
      <c r="E37" s="52" t="str">
        <f>'Master Item List'!A61</f>
        <v>GRAPES, RED  (5# CASE)</v>
      </c>
      <c r="F37" s="53">
        <f>(VLOOKUP($B37,'Master Item List'!$A$1:$V$320,13,FALSE)+VLOOKUP($E37,'Master Item List'!$A$1:$V$320,13,FALSE)/2)</f>
        <v>31.702859477124186</v>
      </c>
      <c r="G37" s="53">
        <f t="shared" si="0"/>
        <v>39.62857434640523</v>
      </c>
      <c r="H37" s="53">
        <f t="shared" si="1"/>
        <v>41.213717320261445</v>
      </c>
      <c r="I37" s="53">
        <f t="shared" si="2"/>
        <v>42.798860294117652</v>
      </c>
      <c r="J37" s="53">
        <f t="shared" si="3"/>
        <v>44.38400326797386</v>
      </c>
      <c r="K37" s="54">
        <f t="shared" ref="K37" si="20">MROUND(G37,0.25)+2.25</f>
        <v>42</v>
      </c>
      <c r="L37" s="54">
        <f t="shared" ref="L37" si="21">MROUND(H37,0.25)+2.25</f>
        <v>43.5</v>
      </c>
      <c r="M37" s="54">
        <f t="shared" ref="M37" si="22">MROUND(I37,0.25)+2.25</f>
        <v>45</v>
      </c>
      <c r="N37" s="54">
        <f t="shared" ref="N37" si="23">MROUND(J37,0.25)+2.25</f>
        <v>46.75</v>
      </c>
    </row>
    <row r="38" spans="1:14" ht="23" customHeight="1" x14ac:dyDescent="0.2">
      <c r="A38" s="19" t="s">
        <v>591</v>
      </c>
      <c r="B38" s="19" t="str">
        <f>'Master Item List'!A295</f>
        <v>PARSNIP &amp; TURNIPS W/RANCH (50/2OZ</v>
      </c>
      <c r="C38" s="12"/>
      <c r="D38" s="12" t="str">
        <f>'Master Item List'!A283</f>
        <v>KIWI, WEDGED SNAKPAK (50 X 2oz)</v>
      </c>
      <c r="E38" s="52" t="str">
        <f>'Master Item List'!A279</f>
        <v>JICAMA, STICKS (50 X 2oz)</v>
      </c>
      <c r="F38" s="53">
        <f>(VLOOKUP($B38,'Master Item List'!$A$1:$V$320,13,FALSE)+VLOOKUP($E38,'Master Item List'!$A$1:$V$320,13,FALSE+VLOOKUP($D38,'Master Item List'!$A$1:$V$320,13,FALSE))/3)</f>
        <v>25.454412878787881</v>
      </c>
      <c r="G38" s="53">
        <f t="shared" ref="G38" si="24">$F38*1.25</f>
        <v>31.818016098484851</v>
      </c>
      <c r="H38" s="53">
        <f t="shared" ref="H38" si="25">$F38*1.3</f>
        <v>33.090736742424248</v>
      </c>
      <c r="I38" s="53">
        <f t="shared" ref="I38" si="26">$F38*1.35</f>
        <v>34.363457386363642</v>
      </c>
      <c r="J38" s="53">
        <f t="shared" ref="J38" si="27">$F38*1.4</f>
        <v>35.636178030303029</v>
      </c>
      <c r="K38" s="54">
        <f t="shared" ref="K38" si="28">MROUND(G38,0.25)+2.25</f>
        <v>34</v>
      </c>
      <c r="L38" s="54">
        <f t="shared" ref="L38" si="29">MROUND(H38,0.25)+2.25</f>
        <v>35.25</v>
      </c>
      <c r="M38" s="54">
        <f t="shared" ref="M38" si="30">MROUND(I38,0.25)+2.25</f>
        <v>36.5</v>
      </c>
      <c r="N38" s="54">
        <f t="shared" ref="N38" si="31">MROUND(J38,0.25)+2.25</f>
        <v>38</v>
      </c>
    </row>
    <row r="39" spans="1:14" ht="23" customHeight="1" x14ac:dyDescent="0.2">
      <c r="A39" s="19" t="s">
        <v>592</v>
      </c>
      <c r="B39" s="52" t="str">
        <f>'Master Item List'!A13</f>
        <v>BROCCOLI FLORETS (4X3# CASE)</v>
      </c>
      <c r="C39" s="12"/>
      <c r="D39" s="12" t="e">
        <f>'Master Item List'!#REF!</f>
        <v>#REF!</v>
      </c>
      <c r="E39" s="52" t="str">
        <f>'Master Item List'!A21</f>
        <v>CABBAGE, SHRED RED (20# CASE)</v>
      </c>
      <c r="F39" s="53" t="e">
        <f>(VLOOKUP($B39,'Master Item List'!$A$1:$V$320,13,FALSE)+VLOOKUP($E39,'Master Item List'!$A$1:$V$320,13,FALSE+VLOOKUP($D39,'Master Item List'!$A$1:$V$320,13,FALSE))/3)</f>
        <v>#REF!</v>
      </c>
      <c r="G39" s="53" t="e">
        <f>$F39*1.25</f>
        <v>#REF!</v>
      </c>
      <c r="H39" s="53" t="e">
        <f>$F39*1.3</f>
        <v>#REF!</v>
      </c>
      <c r="I39" s="53" t="e">
        <f>$F39*1.35</f>
        <v>#REF!</v>
      </c>
      <c r="J39" s="53" t="e">
        <f>$F39*1.4</f>
        <v>#REF!</v>
      </c>
      <c r="K39" s="54" t="e">
        <f t="shared" si="4"/>
        <v>#REF!</v>
      </c>
      <c r="L39" s="54" t="e">
        <f t="shared" si="5"/>
        <v>#REF!</v>
      </c>
      <c r="M39" s="54" t="e">
        <f t="shared" si="6"/>
        <v>#REF!</v>
      </c>
      <c r="N39" s="54" t="e">
        <f t="shared" si="7"/>
        <v>#REF!</v>
      </c>
    </row>
    <row r="40" spans="1:14" ht="23" customHeight="1" x14ac:dyDescent="0.2">
      <c r="A40" s="19" t="s">
        <v>592</v>
      </c>
      <c r="B40" s="59">
        <f>(('Raw Cost'!B12/12)*8)</f>
        <v>14.666666666666666</v>
      </c>
      <c r="C40" s="12"/>
      <c r="D40" s="25">
        <f>(('Raw Cost'!B17/35)*2)</f>
        <v>1.4285714285714286</v>
      </c>
      <c r="E40" s="59">
        <f>(('Raw Cost'!B20/35)*2)</f>
        <v>1.7142857142857142</v>
      </c>
      <c r="F40" s="53" t="e">
        <f>(VLOOKUP($B40,'Master Item List'!$A$1:$V$320,13,FALSE)+VLOOKUP($E40,'Master Item List'!$A$1:$V$320,13,FALSE+VLOOKUP($D40,'Master Item List'!$A$1:$V$320,13,FALSE))/3)</f>
        <v>#N/A</v>
      </c>
      <c r="G40" s="53" t="e">
        <f t="shared" ref="G40:G41" si="32">$F40*1.25</f>
        <v>#N/A</v>
      </c>
      <c r="H40" s="53" t="e">
        <f t="shared" ref="H40:H41" si="33">$F40*1.3</f>
        <v>#N/A</v>
      </c>
      <c r="I40" s="53" t="e">
        <f t="shared" ref="I40:I41" si="34">$F40*1.35</f>
        <v>#N/A</v>
      </c>
      <c r="J40" s="53" t="e">
        <f t="shared" ref="J40:J41" si="35">$F40*1.4</f>
        <v>#N/A</v>
      </c>
      <c r="K40" s="54" t="e">
        <f t="shared" ref="K40:K41" si="36">MROUND(G40,0.25)+2.25</f>
        <v>#N/A</v>
      </c>
      <c r="L40" s="54" t="e">
        <f t="shared" ref="L40:L41" si="37">MROUND(H40,0.25)+2.25</f>
        <v>#N/A</v>
      </c>
      <c r="M40" s="54" t="e">
        <f t="shared" ref="M40:M41" si="38">MROUND(I40,0.25)+2.25</f>
        <v>#N/A</v>
      </c>
      <c r="N40" s="54" t="e">
        <f t="shared" ref="N40:N41" si="39">MROUND(J40,0.25)+2.25</f>
        <v>#N/A</v>
      </c>
    </row>
    <row r="41" spans="1:14" ht="23" customHeight="1" x14ac:dyDescent="0.2">
      <c r="A41" s="21" t="s">
        <v>1068</v>
      </c>
      <c r="B41" s="52" t="str">
        <f>'Master Item List'!A184</f>
        <v>ASPARAGUS &amp; LEMON WEDGES W/RANCH (50 X 2oz)</v>
      </c>
      <c r="C41" s="12"/>
      <c r="D41" s="12"/>
      <c r="E41" s="52" t="str">
        <f>'Master Item List'!A335</f>
        <v>WATERMELON RADISH STICKS (50 X 2oz)</v>
      </c>
      <c r="F41" s="53">
        <f>(VLOOKUP($B41,'Master Item List'!$A$1:$V$362,13,FALSE)+VLOOKUP($E41,'Master Item List'!$A$1:$V$362,13,FALSE))/2</f>
        <v>24.227604166666669</v>
      </c>
      <c r="G41" s="53">
        <f t="shared" si="32"/>
        <v>30.284505208333336</v>
      </c>
      <c r="H41" s="53">
        <f t="shared" si="33"/>
        <v>31.49588541666667</v>
      </c>
      <c r="I41" s="53">
        <f t="shared" si="34"/>
        <v>32.707265625000005</v>
      </c>
      <c r="J41" s="53">
        <f t="shared" si="35"/>
        <v>33.918645833333336</v>
      </c>
      <c r="K41" s="54">
        <f t="shared" si="36"/>
        <v>32.5</v>
      </c>
      <c r="L41" s="54">
        <f t="shared" si="37"/>
        <v>33.75</v>
      </c>
      <c r="M41" s="54">
        <f t="shared" si="38"/>
        <v>35</v>
      </c>
      <c r="N41" s="54">
        <f t="shared" si="39"/>
        <v>36.25</v>
      </c>
    </row>
    <row r="42" spans="1:14" ht="23" customHeight="1" x14ac:dyDescent="0.2">
      <c r="A42" s="19" t="s">
        <v>595</v>
      </c>
      <c r="B42" s="19" t="str">
        <f>'Master Item List'!A227</f>
        <v>CARROTS, SUGAR SNAPS W/RANCH  (50 X 2oz)</v>
      </c>
      <c r="C42" s="12"/>
      <c r="D42" s="19"/>
      <c r="E42" s="52" t="str">
        <f>'Master Item List'!A336</f>
        <v>WATERMELON, SNAKPAK, (50 X 2oz)</v>
      </c>
      <c r="F42" s="53">
        <f>(VLOOKUP($B42,'Master Item List'!$A$1:$V$320,13,FALSE)+VLOOKUP($E42,'Master Item List'!$A$1:$V$362,13,FALSE))/2</f>
        <v>24.586607142857144</v>
      </c>
      <c r="G42" s="53">
        <f>$F42*1.25</f>
        <v>30.733258928571431</v>
      </c>
      <c r="H42" s="53">
        <f>$F42*1.3</f>
        <v>31.962589285714287</v>
      </c>
      <c r="I42" s="53">
        <f>$F42*1.35</f>
        <v>33.191919642857144</v>
      </c>
      <c r="J42" s="53">
        <f>$F42*1.4</f>
        <v>34.421250000000001</v>
      </c>
      <c r="K42" s="54">
        <f>MROUND(G42,0.25)+1</f>
        <v>31.75</v>
      </c>
      <c r="L42" s="54">
        <f>MROUND(H42,0.25)+1</f>
        <v>33</v>
      </c>
      <c r="M42" s="54">
        <f>MROUND(I42,0.25)+1</f>
        <v>34.25</v>
      </c>
      <c r="N42" s="54">
        <f>MROUND(J42,0.25)+1</f>
        <v>35.5</v>
      </c>
    </row>
    <row r="43" spans="1:14" ht="23" customHeight="1" x14ac:dyDescent="0.2">
      <c r="A43" s="21" t="s">
        <v>616</v>
      </c>
      <c r="B43" s="52" t="str">
        <f>'Master Item List'!A23</f>
        <v>CANTALOUPE, HALVED (5#CASE)</v>
      </c>
      <c r="C43" s="12" t="str">
        <f>'Master Item List'!A60</f>
        <v>GRAPES, RED  (1# CASE)</v>
      </c>
      <c r="D43" s="12" t="str">
        <f>'Master Item List'!A65</f>
        <v>HONEYDEW, HALVED (5# CASE)</v>
      </c>
      <c r="E43" s="52" t="str">
        <f>'Master Item List'!A120</f>
        <v>PINEAPPLE CUT (5# CASE)</v>
      </c>
      <c r="F43" s="53">
        <f>(VLOOKUP($B43,'Master Item List'!$A$1:$V$320,13,FALSE)+VLOOKUP($E43,'Master Item List'!$A$1:$V$320,13,FALSE)+VLOOKUP($C43,'Master Item List'!$A$1:$V$320,13,FALSE)+VLOOKUP($D43,'Master Item List'!$A$1:$V$320,13,FALSE))/4</f>
        <v>13.451944444444445</v>
      </c>
      <c r="G43" s="53">
        <f>$F43*1.25</f>
        <v>16.814930555555556</v>
      </c>
      <c r="H43" s="53">
        <f>$F43*1.3</f>
        <v>17.487527777777778</v>
      </c>
      <c r="I43" s="53">
        <f>$F43*1.35</f>
        <v>18.160125000000001</v>
      </c>
      <c r="J43" s="53">
        <f>$F43*1.4</f>
        <v>18.832722222222223</v>
      </c>
      <c r="K43" s="54">
        <f t="shared" si="4"/>
        <v>19</v>
      </c>
      <c r="L43" s="54">
        <f t="shared" si="5"/>
        <v>19.75</v>
      </c>
      <c r="M43" s="54">
        <f t="shared" si="6"/>
        <v>20.5</v>
      </c>
      <c r="N43" s="54">
        <f t="shared" si="7"/>
        <v>21</v>
      </c>
    </row>
    <row r="44" spans="1:14" ht="23" customHeight="1" x14ac:dyDescent="0.2">
      <c r="A44" s="21" t="s">
        <v>1133</v>
      </c>
      <c r="B44" s="52" t="str">
        <f>'Master Item List'!A301</f>
        <v>PEPPER STICK, RED, YELLOW W/ RANCH  (50 X 2oz)</v>
      </c>
      <c r="C44" s="12"/>
      <c r="D44" s="12"/>
      <c r="E44" s="52" t="str">
        <f>'Master Item List'!A279</f>
        <v>JICAMA, STICKS (50 X 2oz)</v>
      </c>
      <c r="F44" s="53">
        <f>(VLOOKUP($B44,'Master Item List'!$A$1:$V$320,13,FALSE)+VLOOKUP($E44,'Master Item List'!$A$1:$V$320,13,FALSE))/2</f>
        <v>20.494485294117649</v>
      </c>
      <c r="G44" s="53">
        <f t="shared" ref="G44" si="40">$F44*1.25</f>
        <v>25.618106617647062</v>
      </c>
      <c r="H44" s="53">
        <f t="shared" ref="H44" si="41">$F44*1.3</f>
        <v>26.642830882352943</v>
      </c>
      <c r="I44" s="53">
        <f t="shared" ref="I44" si="42">$F44*1.35</f>
        <v>27.667555147058827</v>
      </c>
      <c r="J44" s="53">
        <f t="shared" ref="J44" si="43">$F44*1.4</f>
        <v>28.692279411764705</v>
      </c>
      <c r="K44" s="54">
        <f t="shared" si="4"/>
        <v>27.75</v>
      </c>
      <c r="L44" s="54">
        <f t="shared" si="5"/>
        <v>29</v>
      </c>
      <c r="M44" s="54">
        <f t="shared" si="6"/>
        <v>30</v>
      </c>
      <c r="N44" s="54">
        <f t="shared" si="7"/>
        <v>31</v>
      </c>
    </row>
    <row r="45" spans="1:14" ht="23" customHeight="1" x14ac:dyDescent="0.2">
      <c r="A45" s="12"/>
      <c r="B45" s="12"/>
      <c r="C45" s="12"/>
      <c r="D45" s="12"/>
      <c r="E45" s="12"/>
      <c r="F45" s="53" t="e">
        <f>(VLOOKUP($B45,'Master Item List'!$A$1:$V$320,13,FALSE)+VLOOKUP($E45,'Master Item List'!$A$1:$V$320,13,FALSE))/2</f>
        <v>#N/A</v>
      </c>
      <c r="G45" s="53"/>
      <c r="H45" s="53"/>
      <c r="I45" s="53"/>
      <c r="J45" s="53"/>
      <c r="K45" s="51"/>
      <c r="L45" s="51"/>
      <c r="M45" s="51"/>
      <c r="N45" s="51"/>
    </row>
    <row r="46" spans="1:14" ht="23" customHeight="1" x14ac:dyDescent="0.2">
      <c r="A46" s="12"/>
      <c r="B46" s="12"/>
      <c r="C46" s="12"/>
      <c r="D46" s="12"/>
      <c r="E46" s="12"/>
      <c r="F46" s="53" t="e">
        <f>(VLOOKUP($B46,'Master Item List'!$A$1:$V$320,13,FALSE)+VLOOKUP($E46,'Master Item List'!$A$1:$V$320,13,FALSE))/2</f>
        <v>#N/A</v>
      </c>
      <c r="G46" s="53"/>
      <c r="H46" s="53"/>
      <c r="I46" s="53"/>
      <c r="J46" s="53"/>
      <c r="K46" s="51"/>
      <c r="L46" s="51"/>
      <c r="M46" s="51"/>
      <c r="N46" s="51"/>
    </row>
    <row r="47" spans="1:14" ht="23" customHeight="1" x14ac:dyDescent="0.2">
      <c r="A47" s="12"/>
      <c r="B47" s="12"/>
      <c r="C47" s="12"/>
      <c r="D47" s="12"/>
      <c r="E47" s="12"/>
      <c r="F47" s="53" t="e">
        <f>(VLOOKUP($B47,'Master Item List'!$A$1:$V$320,13,FALSE)+VLOOKUP($E47,'Master Item List'!$A$1:$V$320,13,FALSE))/2</f>
        <v>#N/A</v>
      </c>
      <c r="G47" s="53"/>
      <c r="H47" s="53"/>
      <c r="I47" s="53"/>
      <c r="J47" s="53"/>
      <c r="K47" s="51"/>
      <c r="L47" s="51"/>
      <c r="M47" s="51"/>
      <c r="N47" s="51"/>
    </row>
    <row r="48" spans="1:14" ht="23" customHeight="1" x14ac:dyDescent="0.2">
      <c r="A48" s="12"/>
      <c r="B48" s="12"/>
      <c r="C48" s="12"/>
      <c r="D48" s="12"/>
      <c r="E48" s="12"/>
      <c r="F48" s="53" t="e">
        <f>(VLOOKUP($B48,'Master Item List'!$A$1:$V$320,13,FALSE)+VLOOKUP($E48,'Master Item List'!$A$1:$V$320,13,FALSE))/2</f>
        <v>#N/A</v>
      </c>
      <c r="G48" s="53"/>
      <c r="H48" s="53"/>
      <c r="I48" s="53"/>
      <c r="J48" s="53"/>
      <c r="K48" s="51"/>
      <c r="L48" s="51"/>
      <c r="M48" s="51"/>
      <c r="N48" s="51"/>
    </row>
    <row r="49" spans="1:14" ht="23" customHeight="1" x14ac:dyDescent="0.2">
      <c r="A49" s="12"/>
      <c r="B49" s="12"/>
      <c r="C49" s="12"/>
      <c r="D49" s="12"/>
      <c r="E49" s="12"/>
      <c r="F49" s="53" t="e">
        <f>(VLOOKUP($B49,'Master Item List'!$A$1:$V$320,13,FALSE)+VLOOKUP($E49,'Master Item List'!$A$1:$V$320,13,FALSE))/2</f>
        <v>#N/A</v>
      </c>
      <c r="G49" s="53"/>
      <c r="H49" s="53"/>
      <c r="I49" s="53"/>
      <c r="J49" s="53"/>
      <c r="K49" s="51"/>
      <c r="L49" s="51"/>
      <c r="M49" s="51"/>
      <c r="N49" s="51"/>
    </row>
    <row r="50" spans="1:14" ht="23" customHeight="1" x14ac:dyDescent="0.2">
      <c r="A50" s="12"/>
      <c r="B50" s="12"/>
      <c r="C50" s="12"/>
      <c r="D50" s="12"/>
      <c r="E50" s="12"/>
      <c r="F50" s="53" t="e">
        <f>(VLOOKUP($B50,'Master Item List'!$A$1:$V$320,13,FALSE)+VLOOKUP($E50,'Master Item List'!$A$1:$V$320,13,FALSE))/2</f>
        <v>#N/A</v>
      </c>
      <c r="G50" s="53"/>
      <c r="H50" s="53"/>
      <c r="I50" s="53"/>
      <c r="J50" s="53"/>
      <c r="K50" s="51"/>
      <c r="L50" s="51"/>
      <c r="M50" s="51"/>
      <c r="N50" s="51"/>
    </row>
    <row r="51" spans="1:14" ht="23" customHeight="1" x14ac:dyDescent="0.2">
      <c r="A51" s="12"/>
      <c r="B51" s="12"/>
      <c r="C51" s="12"/>
      <c r="D51" s="12"/>
      <c r="E51" s="12"/>
      <c r="F51" s="53" t="e">
        <f>(VLOOKUP($B51,'Master Item List'!$A$1:$V$320,13,FALSE)+VLOOKUP($E51,'Master Item List'!$A$1:$V$320,13,FALSE))/2</f>
        <v>#N/A</v>
      </c>
      <c r="G51" s="53"/>
      <c r="H51" s="53"/>
      <c r="I51" s="53"/>
      <c r="J51" s="53"/>
      <c r="K51" s="51"/>
      <c r="L51" s="51"/>
      <c r="M51" s="51"/>
      <c r="N51" s="51"/>
    </row>
    <row r="52" spans="1:14" ht="23" customHeight="1" x14ac:dyDescent="0.2">
      <c r="A52" s="12"/>
      <c r="B52" s="12"/>
      <c r="C52" s="12"/>
      <c r="D52" s="12"/>
      <c r="E52" s="12"/>
      <c r="F52" s="53" t="e">
        <f>(VLOOKUP($B52,'Master Item List'!$A$1:$V$320,13,FALSE)+VLOOKUP($E52,'Master Item List'!$A$1:$V$320,13,FALSE))/2</f>
        <v>#N/A</v>
      </c>
      <c r="G52" s="53"/>
      <c r="H52" s="53"/>
      <c r="I52" s="53"/>
      <c r="J52" s="53"/>
      <c r="K52" s="51"/>
      <c r="L52" s="51"/>
      <c r="M52" s="51"/>
      <c r="N52" s="51"/>
    </row>
    <row r="53" spans="1:14" ht="23" customHeight="1" x14ac:dyDescent="0.2">
      <c r="A53" s="12"/>
      <c r="B53" s="12"/>
      <c r="C53" s="12"/>
      <c r="D53" s="12"/>
      <c r="E53" s="12"/>
      <c r="F53" s="53" t="e">
        <f>(VLOOKUP($B53,'Master Item List'!$A$1:$V$320,13,FALSE)+VLOOKUP($E53,'Master Item List'!$A$1:$V$320,13,FALSE))/2</f>
        <v>#N/A</v>
      </c>
      <c r="G53" s="53"/>
      <c r="H53" s="53"/>
      <c r="I53" s="53"/>
      <c r="J53" s="53"/>
      <c r="K53" s="51"/>
      <c r="L53" s="51"/>
      <c r="M53" s="51"/>
      <c r="N53" s="51"/>
    </row>
    <row r="54" spans="1:14" ht="23" customHeight="1" x14ac:dyDescent="0.2">
      <c r="A54" s="12"/>
      <c r="B54" s="12"/>
      <c r="C54" s="12"/>
      <c r="D54" s="12"/>
      <c r="E54" s="12"/>
      <c r="F54" s="53" t="e">
        <f>(VLOOKUP($B54,'Master Item List'!$A$1:$V$320,13,FALSE)+VLOOKUP($E54,'Master Item List'!$A$1:$V$320,13,FALSE))/2</f>
        <v>#N/A</v>
      </c>
      <c r="G54" s="53"/>
      <c r="H54" s="53"/>
      <c r="I54" s="53"/>
      <c r="J54" s="53"/>
      <c r="K54" s="51"/>
      <c r="L54" s="51"/>
      <c r="M54" s="51"/>
      <c r="N54" s="51"/>
    </row>
    <row r="55" spans="1:14" ht="23" customHeight="1" x14ac:dyDescent="0.2">
      <c r="F55" s="60"/>
      <c r="G55" s="60"/>
      <c r="H55" s="60"/>
      <c r="I55" s="60"/>
      <c r="J55" s="60"/>
    </row>
    <row r="56" spans="1:14" ht="23" customHeight="1" x14ac:dyDescent="0.2">
      <c r="F56" s="60"/>
      <c r="G56" s="60"/>
      <c r="H56" s="60"/>
      <c r="I56" s="60"/>
      <c r="J56" s="60"/>
    </row>
    <row r="57" spans="1:14" ht="23" customHeight="1" x14ac:dyDescent="0.2">
      <c r="F57" s="60"/>
      <c r="G57" s="60"/>
      <c r="H57" s="60"/>
      <c r="I57" s="60"/>
      <c r="J57" s="60"/>
    </row>
    <row r="58" spans="1:14" ht="23" customHeight="1" x14ac:dyDescent="0.2">
      <c r="F58" s="60"/>
      <c r="G58" s="60"/>
      <c r="H58" s="60"/>
      <c r="I58" s="60"/>
      <c r="J58" s="60"/>
    </row>
    <row r="59" spans="1:14" ht="23" customHeight="1" x14ac:dyDescent="0.2">
      <c r="F59" s="60"/>
      <c r="G59" s="60"/>
      <c r="H59" s="60"/>
      <c r="I59" s="60"/>
      <c r="J59" s="60"/>
    </row>
    <row r="60" spans="1:14" ht="23" customHeight="1" x14ac:dyDescent="0.2">
      <c r="F60" s="60"/>
      <c r="G60" s="60"/>
      <c r="H60" s="60"/>
      <c r="I60" s="60"/>
      <c r="J60" s="60"/>
    </row>
    <row r="61" spans="1:14" ht="23" customHeight="1" x14ac:dyDescent="0.2">
      <c r="F61" s="60"/>
      <c r="G61" s="60"/>
      <c r="H61" s="60"/>
      <c r="I61" s="60"/>
      <c r="J61" s="60"/>
    </row>
    <row r="62" spans="1:14" ht="23" customHeight="1" x14ac:dyDescent="0.2">
      <c r="F62" s="60"/>
      <c r="G62" s="60"/>
      <c r="H62" s="60"/>
      <c r="I62" s="60"/>
      <c r="J62" s="60"/>
    </row>
    <row r="63" spans="1:14" ht="23" customHeight="1" x14ac:dyDescent="0.2">
      <c r="F63" s="60"/>
      <c r="G63" s="60"/>
      <c r="H63" s="60"/>
      <c r="I63" s="60"/>
      <c r="J63" s="60"/>
    </row>
    <row r="64" spans="1:14" ht="23" customHeight="1" x14ac:dyDescent="0.2">
      <c r="F64" s="60"/>
      <c r="G64" s="60"/>
      <c r="H64" s="60"/>
      <c r="I64" s="60"/>
      <c r="J64" s="60"/>
    </row>
    <row r="65" spans="6:10" ht="23" customHeight="1" x14ac:dyDescent="0.2">
      <c r="F65" s="60"/>
      <c r="G65" s="60"/>
      <c r="H65" s="60"/>
      <c r="I65" s="60"/>
      <c r="J65" s="60"/>
    </row>
    <row r="66" spans="6:10" ht="23" customHeight="1" x14ac:dyDescent="0.2">
      <c r="F66" s="60"/>
      <c r="G66" s="60"/>
      <c r="H66" s="60"/>
      <c r="I66" s="60"/>
      <c r="J66" s="60"/>
    </row>
  </sheetData>
  <pageMargins left="0.7" right="0.7" top="0.75" bottom="0.75" header="0.3" footer="0.3"/>
  <pageSetup scale="65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39EED-36B6-6C4B-882C-0CA6DB8FD053}">
  <sheetPr filterMode="1">
    <pageSetUpPr fitToPage="1"/>
  </sheetPr>
  <dimension ref="A1:M367"/>
  <sheetViews>
    <sheetView topLeftCell="B1" zoomScaleNormal="100" workbookViewId="0">
      <selection activeCell="N21" sqref="N21"/>
    </sheetView>
  </sheetViews>
  <sheetFormatPr baseColWidth="10" defaultColWidth="43.33203125" defaultRowHeight="37" customHeight="1" x14ac:dyDescent="0.2"/>
  <cols>
    <col min="1" max="1" width="17" style="88" hidden="1" customWidth="1"/>
    <col min="2" max="2" width="56.1640625" style="88" customWidth="1"/>
    <col min="3" max="4" width="25.33203125" style="77" customWidth="1"/>
    <col min="5" max="7" width="25.33203125" style="77" hidden="1" customWidth="1"/>
    <col min="8" max="8" width="32.83203125" style="77" customWidth="1"/>
    <col min="9" max="9" width="29.5" style="91" customWidth="1"/>
    <col min="10" max="13" width="43.33203125" style="71" hidden="1" customWidth="1"/>
    <col min="14" max="22" width="43.33203125" style="88" customWidth="1"/>
    <col min="23" max="16384" width="43.33203125" style="88"/>
  </cols>
  <sheetData>
    <row r="1" spans="1:13" ht="37" customHeight="1" x14ac:dyDescent="0.2">
      <c r="A1" s="82" t="s">
        <v>1013</v>
      </c>
      <c r="B1" s="82" t="s">
        <v>1014</v>
      </c>
      <c r="C1" s="69" t="s">
        <v>581</v>
      </c>
      <c r="D1" s="69" t="s">
        <v>600</v>
      </c>
      <c r="E1" s="69" t="s">
        <v>586</v>
      </c>
      <c r="F1" s="69" t="s">
        <v>1015</v>
      </c>
      <c r="G1" s="69" t="s">
        <v>1016</v>
      </c>
      <c r="H1" s="69" t="s">
        <v>601</v>
      </c>
      <c r="I1" s="87" t="s">
        <v>602</v>
      </c>
    </row>
    <row r="2" spans="1:13" ht="37" customHeight="1" x14ac:dyDescent="0.2">
      <c r="A2" s="83">
        <v>398</v>
      </c>
      <c r="B2" s="84" t="s">
        <v>648</v>
      </c>
      <c r="C2" s="85">
        <v>32.5</v>
      </c>
      <c r="D2" s="69">
        <f>'Master Item List'!M180</f>
        <v>17.397413793103446</v>
      </c>
      <c r="E2" s="69">
        <f>'Master Item List'!T180</f>
        <v>22.5</v>
      </c>
      <c r="F2" s="69">
        <f>'Master Item List'!U180</f>
        <v>23.5</v>
      </c>
      <c r="G2" s="69">
        <f>'Master Item List'!V180</f>
        <v>24.25</v>
      </c>
      <c r="H2" s="69">
        <f>C2-D2</f>
        <v>15.102586206896554</v>
      </c>
      <c r="I2" s="87">
        <f>H2/D2</f>
        <v>0.86809375154848645</v>
      </c>
      <c r="K2" s="75">
        <v>0.3</v>
      </c>
      <c r="L2" s="75">
        <v>0.4</v>
      </c>
      <c r="M2" s="75">
        <v>0.45</v>
      </c>
    </row>
    <row r="3" spans="1:13" ht="37" customHeight="1" x14ac:dyDescent="0.2">
      <c r="A3" s="86">
        <v>2078</v>
      </c>
      <c r="B3" s="84" t="s">
        <v>649</v>
      </c>
      <c r="C3" s="85">
        <v>46.75</v>
      </c>
      <c r="D3" s="69">
        <f>'Master Item List'!M6</f>
        <v>40.509482758620692</v>
      </c>
      <c r="E3" s="69">
        <f>'Master Item List'!T6</f>
        <v>52.75</v>
      </c>
      <c r="F3" s="69">
        <f>'Master Item List'!U6</f>
        <v>54.75</v>
      </c>
      <c r="G3" s="69">
        <f>'Master Item List'!V6</f>
        <v>56.75</v>
      </c>
      <c r="H3" s="69">
        <f>C3-D3</f>
        <v>6.2405172413793082</v>
      </c>
      <c r="I3" s="87">
        <f>H3/D3</f>
        <v>0.15405077568044939</v>
      </c>
      <c r="J3" s="75"/>
      <c r="K3" s="71">
        <v>6</v>
      </c>
      <c r="L3" s="71">
        <v>10</v>
      </c>
    </row>
    <row r="4" spans="1:13" ht="37" customHeight="1" x14ac:dyDescent="0.2">
      <c r="A4" s="86">
        <v>1159</v>
      </c>
      <c r="B4" s="84" t="s">
        <v>650</v>
      </c>
      <c r="C4" s="85">
        <v>33.5</v>
      </c>
      <c r="D4" s="69">
        <f>'Master Item List'!M8-1</f>
        <v>27.225689655172413</v>
      </c>
      <c r="E4" s="69">
        <f>'Master Item List'!T8-1</f>
        <v>35.75</v>
      </c>
      <c r="F4" s="69">
        <f>'Master Item List'!U8-1</f>
        <v>37</v>
      </c>
      <c r="G4" s="69">
        <f>'Master Item List'!V8-1</f>
        <v>38.5</v>
      </c>
      <c r="H4" s="69">
        <f t="shared" ref="H4:H48" si="0">C4-D4</f>
        <v>6.2743103448275868</v>
      </c>
      <c r="I4" s="87">
        <f t="shared" ref="I4:I48" si="1">H4/D4</f>
        <v>0.23045551551843152</v>
      </c>
    </row>
    <row r="5" spans="1:13" ht="37" customHeight="1" x14ac:dyDescent="0.2">
      <c r="A5" s="86">
        <v>2075</v>
      </c>
      <c r="B5" s="84" t="s">
        <v>651</v>
      </c>
      <c r="C5" s="85">
        <v>49.25</v>
      </c>
      <c r="D5" s="69">
        <f>'Combo Pricing'!F3</f>
        <v>37.709601293103447</v>
      </c>
      <c r="E5" s="69">
        <f>'Combo Pricing'!L2</f>
        <v>26.75</v>
      </c>
      <c r="F5" s="69">
        <f>'Combo Pricing'!M2</f>
        <v>27.75</v>
      </c>
      <c r="G5" s="69">
        <f>'Combo Pricing'!N2</f>
        <v>28.75</v>
      </c>
      <c r="H5" s="69">
        <f t="shared" si="0"/>
        <v>11.540398706896553</v>
      </c>
      <c r="I5" s="87">
        <f t="shared" si="1"/>
        <v>0.30603343210120681</v>
      </c>
    </row>
    <row r="6" spans="1:13" ht="37" customHeight="1" x14ac:dyDescent="0.2">
      <c r="A6" s="86">
        <v>2079</v>
      </c>
      <c r="B6" s="84" t="s">
        <v>652</v>
      </c>
      <c r="C6" s="85">
        <v>37.25</v>
      </c>
      <c r="D6" s="69">
        <f>'Master Item List'!M5</f>
        <v>23.749137931034483</v>
      </c>
      <c r="E6" s="69">
        <f>'Master Item List'!T5</f>
        <v>30.75</v>
      </c>
      <c r="F6" s="69">
        <f>'Master Item List'!U5</f>
        <v>32</v>
      </c>
      <c r="G6" s="69">
        <f>'Master Item List'!V5</f>
        <v>33.25</v>
      </c>
      <c r="H6" s="69">
        <f t="shared" si="0"/>
        <v>13.500862068965517</v>
      </c>
      <c r="I6" s="87">
        <f t="shared" si="1"/>
        <v>0.56847798468183963</v>
      </c>
    </row>
    <row r="7" spans="1:13" ht="37" customHeight="1" x14ac:dyDescent="0.2">
      <c r="A7" s="86">
        <v>1158</v>
      </c>
      <c r="B7" s="84" t="s">
        <v>653</v>
      </c>
      <c r="C7" s="85">
        <v>29.25</v>
      </c>
      <c r="D7" s="69">
        <f>'Master Item List'!M4-1</f>
        <v>23.648448275862066</v>
      </c>
      <c r="E7" s="69">
        <f>'Master Item List'!T4</f>
        <v>32</v>
      </c>
      <c r="F7" s="69">
        <f>'Master Item List'!U4</f>
        <v>33.25</v>
      </c>
      <c r="G7" s="69">
        <f>'Master Item List'!V4</f>
        <v>34.5</v>
      </c>
      <c r="H7" s="69">
        <f t="shared" si="0"/>
        <v>5.6015517241379342</v>
      </c>
      <c r="I7" s="87">
        <f t="shared" si="1"/>
        <v>0.23686762272074441</v>
      </c>
    </row>
    <row r="8" spans="1:13" ht="37" customHeight="1" x14ac:dyDescent="0.2">
      <c r="A8" s="83">
        <v>999</v>
      </c>
      <c r="B8" s="84" t="s">
        <v>654</v>
      </c>
      <c r="C8" s="85">
        <v>30.25</v>
      </c>
      <c r="D8" s="69">
        <f>D7+1</f>
        <v>24.648448275862066</v>
      </c>
      <c r="E8" s="69">
        <f>E7+1</f>
        <v>33</v>
      </c>
      <c r="F8" s="69">
        <f>F7+1</f>
        <v>34.25</v>
      </c>
      <c r="G8" s="69">
        <f>G7+1</f>
        <v>35.5</v>
      </c>
      <c r="H8" s="69">
        <f t="shared" si="0"/>
        <v>5.6015517241379342</v>
      </c>
      <c r="I8" s="87">
        <f t="shared" si="1"/>
        <v>0.22725778359132925</v>
      </c>
    </row>
    <row r="9" spans="1:13" ht="37" customHeight="1" x14ac:dyDescent="0.2">
      <c r="A9" s="86">
        <v>3173</v>
      </c>
      <c r="B9" s="84" t="s">
        <v>655</v>
      </c>
      <c r="C9" s="85">
        <v>13.5</v>
      </c>
      <c r="D9" s="69">
        <f>'Master Item List'!M5/4</f>
        <v>5.9372844827586206</v>
      </c>
      <c r="E9" s="69">
        <f>'Master Item List'!T5/4</f>
        <v>7.6875</v>
      </c>
      <c r="F9" s="69">
        <f>'Master Item List'!U5/4</f>
        <v>8</v>
      </c>
      <c r="G9" s="69">
        <f>'Master Item List'!V5/4</f>
        <v>8.3125</v>
      </c>
      <c r="H9" s="69">
        <f t="shared" si="0"/>
        <v>7.5627155172413794</v>
      </c>
      <c r="I9" s="87">
        <f t="shared" si="1"/>
        <v>1.273766742894479</v>
      </c>
    </row>
    <row r="10" spans="1:13" ht="37" customHeight="1" x14ac:dyDescent="0.2">
      <c r="A10" s="86">
        <v>2034</v>
      </c>
      <c r="B10" s="84" t="s">
        <v>656</v>
      </c>
      <c r="C10" s="85">
        <v>32.5</v>
      </c>
      <c r="D10" s="69">
        <f>D2</f>
        <v>17.397413793103446</v>
      </c>
      <c r="E10" s="69">
        <f>E2</f>
        <v>22.5</v>
      </c>
      <c r="F10" s="69">
        <f>F2</f>
        <v>23.5</v>
      </c>
      <c r="G10" s="69">
        <f>G2</f>
        <v>24.25</v>
      </c>
      <c r="H10" s="69">
        <f t="shared" si="0"/>
        <v>15.102586206896554</v>
      </c>
      <c r="I10" s="87">
        <f t="shared" si="1"/>
        <v>0.86809375154848645</v>
      </c>
    </row>
    <row r="11" spans="1:13" ht="37" customHeight="1" x14ac:dyDescent="0.2">
      <c r="A11" s="86">
        <v>3246</v>
      </c>
      <c r="B11" s="84" t="s">
        <v>657</v>
      </c>
      <c r="C11" s="85">
        <v>32.25</v>
      </c>
      <c r="D11" s="69">
        <f>'Master Item List'!M172</f>
        <v>22.074137931034482</v>
      </c>
      <c r="E11" s="69" t="e">
        <f>'Combo Pricing'!L4</f>
        <v>#N/A</v>
      </c>
      <c r="F11" s="69" t="e">
        <f>'Combo Pricing'!M4</f>
        <v>#N/A</v>
      </c>
      <c r="G11" s="69" t="e">
        <f>'Combo Pricing'!N4</f>
        <v>#N/A</v>
      </c>
      <c r="H11" s="69">
        <f t="shared" si="0"/>
        <v>10.175862068965518</v>
      </c>
      <c r="I11" s="87">
        <f t="shared" si="1"/>
        <v>0.460985706475045</v>
      </c>
    </row>
    <row r="12" spans="1:13" s="71" customFormat="1" ht="37" hidden="1" customHeight="1" x14ac:dyDescent="0.2">
      <c r="A12" s="76">
        <v>3247</v>
      </c>
      <c r="B12" s="73" t="s">
        <v>658</v>
      </c>
      <c r="C12" s="74">
        <f>C11+15</f>
        <v>47.25</v>
      </c>
      <c r="D12" s="69">
        <f>D11+'Raw Cost'!F1</f>
        <v>31.274137931034481</v>
      </c>
      <c r="E12" s="69"/>
      <c r="F12" s="69"/>
      <c r="G12" s="69"/>
      <c r="H12" s="68">
        <f t="shared" si="0"/>
        <v>15.975862068965519</v>
      </c>
      <c r="I12" s="70">
        <f t="shared" si="1"/>
        <v>0.51083301174265405</v>
      </c>
    </row>
    <row r="13" spans="1:13" s="71" customFormat="1" ht="37" hidden="1" customHeight="1" x14ac:dyDescent="0.2">
      <c r="A13" s="76">
        <v>3248</v>
      </c>
      <c r="B13" s="73" t="s">
        <v>659</v>
      </c>
      <c r="C13" s="74">
        <f>C11+15</f>
        <v>47.25</v>
      </c>
      <c r="D13" s="69">
        <f>D11+'Raw Cost'!F3</f>
        <v>25.574137931034482</v>
      </c>
      <c r="E13" s="69"/>
      <c r="F13" s="69"/>
      <c r="G13" s="69"/>
      <c r="H13" s="68">
        <f t="shared" si="0"/>
        <v>21.675862068965518</v>
      </c>
      <c r="I13" s="70">
        <f t="shared" si="1"/>
        <v>0.84756960830580474</v>
      </c>
    </row>
    <row r="14" spans="1:13" ht="37" customHeight="1" x14ac:dyDescent="0.2">
      <c r="A14" s="86">
        <v>4726</v>
      </c>
      <c r="B14" s="84" t="s">
        <v>660</v>
      </c>
      <c r="C14" s="85">
        <v>29.25</v>
      </c>
      <c r="D14" s="69">
        <f>'Combo Pricing'!F5</f>
        <v>17.225894396551723</v>
      </c>
      <c r="E14" s="69">
        <f>'Combo Pricing'!L5</f>
        <v>24.75</v>
      </c>
      <c r="F14" s="69">
        <f>'Combo Pricing'!M5</f>
        <v>25.5</v>
      </c>
      <c r="G14" s="69">
        <f>'Combo Pricing'!N5</f>
        <v>26.25</v>
      </c>
      <c r="H14" s="69">
        <f t="shared" si="0"/>
        <v>12.024105603448277</v>
      </c>
      <c r="I14" s="87">
        <f t="shared" si="1"/>
        <v>0.69802503873791655</v>
      </c>
    </row>
    <row r="15" spans="1:13" s="71" customFormat="1" ht="37" hidden="1" customHeight="1" x14ac:dyDescent="0.2">
      <c r="A15" s="76">
        <v>3249</v>
      </c>
      <c r="B15" s="73" t="s">
        <v>661</v>
      </c>
      <c r="C15" s="74">
        <f>C14+15</f>
        <v>44.25</v>
      </c>
      <c r="D15" s="69">
        <f>D14+'Raw Cost'!F1</f>
        <v>26.425894396551723</v>
      </c>
      <c r="E15" s="69"/>
      <c r="F15" s="69"/>
      <c r="G15" s="69"/>
      <c r="H15" s="68">
        <f t="shared" si="0"/>
        <v>17.824105603448277</v>
      </c>
      <c r="I15" s="70">
        <f t="shared" si="1"/>
        <v>0.6744939390121123</v>
      </c>
    </row>
    <row r="16" spans="1:13" s="71" customFormat="1" ht="37" hidden="1" customHeight="1" x14ac:dyDescent="0.2">
      <c r="A16" s="76">
        <v>3250</v>
      </c>
      <c r="B16" s="73" t="s">
        <v>662</v>
      </c>
      <c r="C16" s="74">
        <f>C14+15</f>
        <v>44.25</v>
      </c>
      <c r="D16" s="69">
        <f>D14+'Raw Cost'!F3</f>
        <v>20.725894396551723</v>
      </c>
      <c r="E16" s="69"/>
      <c r="F16" s="69"/>
      <c r="G16" s="69"/>
      <c r="H16" s="68">
        <f t="shared" si="0"/>
        <v>23.524105603448277</v>
      </c>
      <c r="I16" s="70">
        <f t="shared" si="1"/>
        <v>1.1350103958535129</v>
      </c>
    </row>
    <row r="17" spans="1:9" ht="37" customHeight="1" x14ac:dyDescent="0.2">
      <c r="A17" s="86">
        <v>4631</v>
      </c>
      <c r="B17" s="84" t="s">
        <v>663</v>
      </c>
      <c r="C17" s="85">
        <v>32.25</v>
      </c>
      <c r="D17" s="69">
        <f>'Combo Pricing'!F36</f>
        <v>41.08038793103448</v>
      </c>
      <c r="E17" s="69">
        <f>'Combo Pricing'!L36</f>
        <v>55.75</v>
      </c>
      <c r="F17" s="69">
        <f>'Combo Pricing'!M36</f>
        <v>57.75</v>
      </c>
      <c r="G17" s="69">
        <f>'Combo Pricing'!N36</f>
        <v>59.75</v>
      </c>
      <c r="H17" s="69">
        <f t="shared" si="0"/>
        <v>-8.8303879310344797</v>
      </c>
      <c r="I17" s="87">
        <f t="shared" si="1"/>
        <v>-0.21495385939049272</v>
      </c>
    </row>
    <row r="18" spans="1:9" s="71" customFormat="1" ht="37" hidden="1" customHeight="1" x14ac:dyDescent="0.2">
      <c r="A18" s="76">
        <v>3251</v>
      </c>
      <c r="B18" s="73" t="s">
        <v>664</v>
      </c>
      <c r="C18" s="74">
        <f>C17+15</f>
        <v>47.25</v>
      </c>
      <c r="D18" s="69">
        <f>D17+'Raw Cost'!F3</f>
        <v>44.58038793103448</v>
      </c>
      <c r="E18" s="69"/>
      <c r="F18" s="69"/>
      <c r="G18" s="69"/>
      <c r="H18" s="68">
        <f t="shared" si="0"/>
        <v>2.6696120689655203</v>
      </c>
      <c r="I18" s="70">
        <f t="shared" si="1"/>
        <v>5.9883105393685444E-2</v>
      </c>
    </row>
    <row r="19" spans="1:9" ht="37" customHeight="1" x14ac:dyDescent="0.2">
      <c r="A19" s="83">
        <v>395</v>
      </c>
      <c r="B19" s="84" t="s">
        <v>665</v>
      </c>
      <c r="C19" s="85">
        <v>31.5</v>
      </c>
      <c r="D19" s="69">
        <f>'Master Item List'!M179</f>
        <v>25.819827586206898</v>
      </c>
      <c r="E19" s="69">
        <f>'Combo Pricing'!L2/2</f>
        <v>13.375</v>
      </c>
      <c r="F19" s="69">
        <f>'Combo Pricing'!M2/2</f>
        <v>13.875</v>
      </c>
      <c r="G19" s="69">
        <f>'Combo Pricing'!N2/2</f>
        <v>14.375</v>
      </c>
      <c r="H19" s="69">
        <f t="shared" si="0"/>
        <v>5.6801724137931018</v>
      </c>
      <c r="I19" s="87">
        <f t="shared" si="1"/>
        <v>0.2199926546692931</v>
      </c>
    </row>
    <row r="20" spans="1:9" s="71" customFormat="1" ht="37" hidden="1" customHeight="1" x14ac:dyDescent="0.2">
      <c r="A20" s="76">
        <v>3253</v>
      </c>
      <c r="B20" s="73" t="s">
        <v>666</v>
      </c>
      <c r="C20" s="74">
        <f>C19+15</f>
        <v>46.5</v>
      </c>
      <c r="D20" s="69">
        <f>D19+'Raw Cost'!F3</f>
        <v>29.319827586206898</v>
      </c>
      <c r="E20" s="69"/>
      <c r="F20" s="69"/>
      <c r="G20" s="69"/>
      <c r="H20" s="68">
        <f t="shared" si="0"/>
        <v>17.180172413793102</v>
      </c>
      <c r="I20" s="70">
        <f t="shared" si="1"/>
        <v>0.58595748434330064</v>
      </c>
    </row>
    <row r="21" spans="1:9" ht="37" customHeight="1" x14ac:dyDescent="0.2">
      <c r="A21" s="86">
        <v>4729</v>
      </c>
      <c r="B21" s="84" t="s">
        <v>667</v>
      </c>
      <c r="C21" s="85">
        <v>29.25</v>
      </c>
      <c r="D21" s="69" t="e">
        <f>'Combo Pricing'!F7</f>
        <v>#N/A</v>
      </c>
      <c r="E21" s="69" t="e">
        <f>'Combo Pricing'!L7</f>
        <v>#N/A</v>
      </c>
      <c r="F21" s="69" t="e">
        <f>'Combo Pricing'!M7</f>
        <v>#N/A</v>
      </c>
      <c r="G21" s="69" t="e">
        <f>'Combo Pricing'!N7</f>
        <v>#N/A</v>
      </c>
      <c r="H21" s="69" t="e">
        <f t="shared" si="0"/>
        <v>#N/A</v>
      </c>
      <c r="I21" s="87" t="e">
        <f t="shared" si="1"/>
        <v>#N/A</v>
      </c>
    </row>
    <row r="22" spans="1:9" s="71" customFormat="1" ht="37" hidden="1" customHeight="1" x14ac:dyDescent="0.2">
      <c r="A22" s="76">
        <v>3254</v>
      </c>
      <c r="B22" s="73" t="s">
        <v>668</v>
      </c>
      <c r="C22" s="74">
        <f>C21+15</f>
        <v>44.25</v>
      </c>
      <c r="D22" s="69" t="e">
        <f>D21+'Raw Cost'!F3</f>
        <v>#N/A</v>
      </c>
      <c r="E22" s="69"/>
      <c r="F22" s="69"/>
      <c r="G22" s="69"/>
      <c r="H22" s="68" t="e">
        <f t="shared" si="0"/>
        <v>#N/A</v>
      </c>
      <c r="I22" s="70" t="e">
        <f t="shared" si="1"/>
        <v>#N/A</v>
      </c>
    </row>
    <row r="23" spans="1:9" ht="37" customHeight="1" x14ac:dyDescent="0.2">
      <c r="A23" s="86">
        <v>3179</v>
      </c>
      <c r="B23" s="84" t="s">
        <v>669</v>
      </c>
      <c r="C23" s="85">
        <v>48.25</v>
      </c>
      <c r="D23" s="69">
        <f>'Master Item List'!M184</f>
        <v>24.396875000000001</v>
      </c>
      <c r="E23" s="69">
        <f>'Master Item List'!T184</f>
        <v>47.75</v>
      </c>
      <c r="F23" s="69">
        <f>'Master Item List'!U184</f>
        <v>49</v>
      </c>
      <c r="G23" s="69">
        <f>'Master Item List'!V184</f>
        <v>50.25</v>
      </c>
      <c r="H23" s="69">
        <f t="shared" si="0"/>
        <v>23.853124999999999</v>
      </c>
      <c r="I23" s="87">
        <f t="shared" si="1"/>
        <v>0.97771230946586385</v>
      </c>
    </row>
    <row r="24" spans="1:9" s="71" customFormat="1" ht="37" hidden="1" customHeight="1" x14ac:dyDescent="0.2">
      <c r="A24" s="76">
        <v>3255</v>
      </c>
      <c r="B24" s="73" t="s">
        <v>670</v>
      </c>
      <c r="C24" s="74">
        <f>C23+15</f>
        <v>63.25</v>
      </c>
      <c r="D24" s="69">
        <f>D23+'Raw Cost'!F1</f>
        <v>33.596874999999997</v>
      </c>
      <c r="E24" s="69"/>
      <c r="F24" s="69"/>
      <c r="G24" s="69"/>
      <c r="H24" s="68">
        <f t="shared" si="0"/>
        <v>29.653125000000003</v>
      </c>
      <c r="I24" s="70">
        <f t="shared" si="1"/>
        <v>0.8826155706445914</v>
      </c>
    </row>
    <row r="25" spans="1:9" s="71" customFormat="1" ht="37" hidden="1" customHeight="1" x14ac:dyDescent="0.2">
      <c r="A25" s="76">
        <v>3256</v>
      </c>
      <c r="B25" s="73" t="s">
        <v>671</v>
      </c>
      <c r="C25" s="74">
        <f>C23+15</f>
        <v>63.25</v>
      </c>
      <c r="D25" s="69">
        <f>D23+'Raw Cost'!F3</f>
        <v>27.896875000000001</v>
      </c>
      <c r="E25" s="69"/>
      <c r="F25" s="69"/>
      <c r="G25" s="69"/>
      <c r="H25" s="68">
        <f t="shared" si="0"/>
        <v>35.353124999999999</v>
      </c>
      <c r="I25" s="70">
        <f t="shared" si="1"/>
        <v>1.2672790411112356</v>
      </c>
    </row>
    <row r="26" spans="1:9" ht="37" customHeight="1" x14ac:dyDescent="0.2">
      <c r="A26" s="86">
        <v>3156</v>
      </c>
      <c r="B26" s="84" t="s">
        <v>672</v>
      </c>
      <c r="C26" s="85">
        <v>34.75</v>
      </c>
      <c r="D26" s="69">
        <f>'Master Item List'!M192</f>
        <v>55.725000000000001</v>
      </c>
      <c r="E26" s="69">
        <f>'Master Item List'!T192</f>
        <v>72.5</v>
      </c>
      <c r="F26" s="69">
        <f>'Master Item List'!U192</f>
        <v>75.25</v>
      </c>
      <c r="G26" s="69">
        <f>'Master Item List'!V192</f>
        <v>78</v>
      </c>
      <c r="H26" s="69">
        <f t="shared" si="0"/>
        <v>-20.975000000000001</v>
      </c>
      <c r="I26" s="87">
        <f t="shared" si="1"/>
        <v>-0.37640197397936298</v>
      </c>
    </row>
    <row r="27" spans="1:9" ht="37" customHeight="1" x14ac:dyDescent="0.2">
      <c r="A27" s="86">
        <v>2834</v>
      </c>
      <c r="B27" s="84" t="s">
        <v>673</v>
      </c>
      <c r="C27" s="85">
        <v>37.5</v>
      </c>
      <c r="D27" s="69">
        <f>'Master Item List'!M10</f>
        <v>17.774999999999999</v>
      </c>
      <c r="E27" s="69">
        <f>'Master Item List'!T10</f>
        <v>23</v>
      </c>
      <c r="F27" s="69">
        <f>'Master Item List'!U10</f>
        <v>24</v>
      </c>
      <c r="G27" s="69">
        <f>'Master Item List'!V10</f>
        <v>25</v>
      </c>
      <c r="H27" s="69">
        <f t="shared" si="0"/>
        <v>19.725000000000001</v>
      </c>
      <c r="I27" s="87">
        <f t="shared" si="1"/>
        <v>1.1097046413502112</v>
      </c>
    </row>
    <row r="28" spans="1:9" ht="37" customHeight="1" x14ac:dyDescent="0.2">
      <c r="A28" s="86">
        <v>2833</v>
      </c>
      <c r="B28" s="84" t="s">
        <v>674</v>
      </c>
      <c r="C28" s="85">
        <v>37.25</v>
      </c>
      <c r="D28" s="69">
        <f>'Master Item List'!M11</f>
        <v>26.663888888888888</v>
      </c>
      <c r="E28" s="69">
        <f>'Master Item List'!T11</f>
        <v>34.75</v>
      </c>
      <c r="F28" s="69">
        <f>'Master Item List'!U11</f>
        <v>36</v>
      </c>
      <c r="G28" s="69">
        <f>'Master Item List'!V11</f>
        <v>37.25</v>
      </c>
      <c r="H28" s="69">
        <f t="shared" si="0"/>
        <v>10.586111111111112</v>
      </c>
      <c r="I28" s="87">
        <f t="shared" si="1"/>
        <v>0.39702052297114288</v>
      </c>
    </row>
    <row r="29" spans="1:9" ht="37" customHeight="1" x14ac:dyDescent="0.2">
      <c r="A29" s="83">
        <v>509</v>
      </c>
      <c r="B29" s="84" t="s">
        <v>675</v>
      </c>
      <c r="C29" s="85">
        <v>28.25</v>
      </c>
      <c r="D29" s="69">
        <f>'Master Item List'!M9</f>
        <v>27.219444444444441</v>
      </c>
      <c r="E29" s="69">
        <f>'Master Item List'!T9</f>
        <v>35.5</v>
      </c>
      <c r="F29" s="69">
        <f>'Master Item List'!U9</f>
        <v>36.75</v>
      </c>
      <c r="G29" s="69">
        <f>'Master Item List'!V9</f>
        <v>38</v>
      </c>
      <c r="H29" s="69">
        <f t="shared" si="0"/>
        <v>1.0305555555555586</v>
      </c>
      <c r="I29" s="87">
        <f t="shared" si="1"/>
        <v>3.7861006225125129E-2</v>
      </c>
    </row>
    <row r="30" spans="1:9" s="71" customFormat="1" ht="37" hidden="1" customHeight="1" x14ac:dyDescent="0.2">
      <c r="A30" s="76">
        <v>3257</v>
      </c>
      <c r="B30" s="73" t="s">
        <v>676</v>
      </c>
      <c r="C30" s="74">
        <f>C26+15</f>
        <v>49.75</v>
      </c>
      <c r="D30" s="69">
        <f>D26+'Raw Cost'!F1</f>
        <v>64.924999999999997</v>
      </c>
      <c r="E30" s="69"/>
      <c r="F30" s="69"/>
      <c r="G30" s="69"/>
      <c r="H30" s="68">
        <f t="shared" si="0"/>
        <v>-15.174999999999997</v>
      </c>
      <c r="I30" s="70">
        <f t="shared" si="1"/>
        <v>-0.23373122834039273</v>
      </c>
    </row>
    <row r="31" spans="1:9" s="71" customFormat="1" ht="37" hidden="1" customHeight="1" x14ac:dyDescent="0.2">
      <c r="A31" s="76">
        <v>3258</v>
      </c>
      <c r="B31" s="73" t="s">
        <v>677</v>
      </c>
      <c r="C31" s="74">
        <f>C26+15</f>
        <v>49.75</v>
      </c>
      <c r="D31" s="69">
        <f>D26+'Raw Cost'!F3</f>
        <v>59.225000000000001</v>
      </c>
      <c r="E31" s="69"/>
      <c r="F31" s="69"/>
      <c r="G31" s="69"/>
      <c r="H31" s="68">
        <f t="shared" si="0"/>
        <v>-9.4750000000000014</v>
      </c>
      <c r="I31" s="70">
        <f t="shared" si="1"/>
        <v>-0.15998311523849729</v>
      </c>
    </row>
    <row r="32" spans="1:9" ht="37" customHeight="1" x14ac:dyDescent="0.2">
      <c r="A32" s="83">
        <v>333</v>
      </c>
      <c r="B32" s="84" t="s">
        <v>678</v>
      </c>
      <c r="C32" s="85">
        <v>28.25</v>
      </c>
      <c r="D32" s="69">
        <f>D29</f>
        <v>27.219444444444441</v>
      </c>
      <c r="E32" s="69">
        <f>E29</f>
        <v>35.5</v>
      </c>
      <c r="F32" s="69">
        <f t="shared" ref="F32:G32" si="2">F29</f>
        <v>36.75</v>
      </c>
      <c r="G32" s="69">
        <f t="shared" si="2"/>
        <v>38</v>
      </c>
      <c r="H32" s="69">
        <f t="shared" si="0"/>
        <v>1.0305555555555586</v>
      </c>
      <c r="I32" s="87">
        <f t="shared" si="1"/>
        <v>3.7861006225125129E-2</v>
      </c>
    </row>
    <row r="33" spans="1:9" ht="37" customHeight="1" x14ac:dyDescent="0.2">
      <c r="A33" s="83">
        <v>963</v>
      </c>
      <c r="B33" s="84" t="s">
        <v>679</v>
      </c>
      <c r="C33" s="85">
        <v>28.25</v>
      </c>
      <c r="D33" s="69">
        <f>D32</f>
        <v>27.219444444444441</v>
      </c>
      <c r="E33" s="69">
        <f>E32</f>
        <v>35.5</v>
      </c>
      <c r="F33" s="69">
        <f t="shared" ref="F33:G33" si="3">F32</f>
        <v>36.75</v>
      </c>
      <c r="G33" s="69">
        <f t="shared" si="3"/>
        <v>38</v>
      </c>
      <c r="H33" s="69">
        <f t="shared" si="0"/>
        <v>1.0305555555555586</v>
      </c>
      <c r="I33" s="87">
        <f t="shared" si="1"/>
        <v>3.7861006225125129E-2</v>
      </c>
    </row>
    <row r="34" spans="1:9" ht="37" customHeight="1" x14ac:dyDescent="0.2">
      <c r="A34" s="86">
        <v>3265</v>
      </c>
      <c r="B34" s="84" t="s">
        <v>680</v>
      </c>
      <c r="C34" s="85">
        <v>35.25</v>
      </c>
      <c r="D34" s="69">
        <f>'Master Item List'!M191</f>
        <v>23.705555555555556</v>
      </c>
      <c r="E34" s="69">
        <f>'Master Item List'!T191</f>
        <v>30.75</v>
      </c>
      <c r="F34" s="69">
        <f>'Master Item List'!U191</f>
        <v>32</v>
      </c>
      <c r="G34" s="69">
        <f>'Master Item List'!V191</f>
        <v>33.25</v>
      </c>
      <c r="H34" s="69">
        <f t="shared" si="0"/>
        <v>11.544444444444444</v>
      </c>
      <c r="I34" s="87">
        <f t="shared" si="1"/>
        <v>0.48699320365596438</v>
      </c>
    </row>
    <row r="35" spans="1:9" ht="37" customHeight="1" x14ac:dyDescent="0.2">
      <c r="A35" s="83">
        <v>994</v>
      </c>
      <c r="B35" s="84" t="s">
        <v>681</v>
      </c>
      <c r="C35" s="85">
        <v>67.5</v>
      </c>
      <c r="D35" s="69">
        <f>'Master Item List'!M195</f>
        <v>21.790538194444444</v>
      </c>
      <c r="E35" s="69">
        <f>'Master Item List'!T195</f>
        <v>28.25</v>
      </c>
      <c r="F35" s="69">
        <f>'Master Item List'!U195</f>
        <v>29.5</v>
      </c>
      <c r="G35" s="69">
        <f>'Master Item List'!V195</f>
        <v>30.5</v>
      </c>
      <c r="H35" s="69">
        <f t="shared" si="0"/>
        <v>45.709461805555556</v>
      </c>
      <c r="I35" s="87">
        <f t="shared" si="1"/>
        <v>2.0976747521182979</v>
      </c>
    </row>
    <row r="36" spans="1:9" s="71" customFormat="1" ht="37" hidden="1" customHeight="1" x14ac:dyDescent="0.2">
      <c r="A36" s="76">
        <v>3266</v>
      </c>
      <c r="B36" s="73" t="s">
        <v>682</v>
      </c>
      <c r="C36" s="74">
        <f>C35+15</f>
        <v>82.5</v>
      </c>
      <c r="D36" s="69">
        <f>D35+'Raw Cost'!F3</f>
        <v>25.290538194444444</v>
      </c>
      <c r="E36" s="69"/>
      <c r="F36" s="69"/>
      <c r="G36" s="69"/>
      <c r="H36" s="68">
        <f t="shared" si="0"/>
        <v>57.209461805555556</v>
      </c>
      <c r="I36" s="70">
        <f t="shared" si="1"/>
        <v>2.2620895358455724</v>
      </c>
    </row>
    <row r="37" spans="1:9" ht="37" customHeight="1" x14ac:dyDescent="0.2">
      <c r="A37" s="86">
        <v>2458</v>
      </c>
      <c r="B37" s="84" t="s">
        <v>683</v>
      </c>
      <c r="C37" s="85">
        <v>48.5</v>
      </c>
      <c r="D37" s="69">
        <f>'Master Item List'!M12</f>
        <v>37.298333333333332</v>
      </c>
      <c r="E37" s="69">
        <f>'Master Item List'!T12</f>
        <v>48.5</v>
      </c>
      <c r="F37" s="69">
        <f>'Master Item List'!U12</f>
        <v>50.25</v>
      </c>
      <c r="G37" s="69">
        <f>'Master Item List'!V12</f>
        <v>52.25</v>
      </c>
      <c r="H37" s="69">
        <f t="shared" si="0"/>
        <v>11.201666666666668</v>
      </c>
      <c r="I37" s="87">
        <f t="shared" si="1"/>
        <v>0.30032619866839455</v>
      </c>
    </row>
    <row r="38" spans="1:9" s="71" customFormat="1" ht="37" hidden="1" customHeight="1" x14ac:dyDescent="0.2">
      <c r="A38" s="76">
        <v>2422</v>
      </c>
      <c r="B38" s="73" t="s">
        <v>684</v>
      </c>
      <c r="C38" s="74">
        <f>C45+15</f>
        <v>48.25</v>
      </c>
      <c r="D38" s="69">
        <f>D45+'Raw Cost'!F1</f>
        <v>31.473611111111115</v>
      </c>
      <c r="E38" s="69"/>
      <c r="F38" s="69"/>
      <c r="G38" s="69"/>
      <c r="H38" s="68">
        <f t="shared" si="0"/>
        <v>16.776388888888885</v>
      </c>
      <c r="I38" s="70">
        <f t="shared" si="1"/>
        <v>0.53303031640262988</v>
      </c>
    </row>
    <row r="39" spans="1:9" s="71" customFormat="1" ht="37" hidden="1" customHeight="1" x14ac:dyDescent="0.2">
      <c r="A39" s="76">
        <v>2440</v>
      </c>
      <c r="B39" s="73" t="s">
        <v>685</v>
      </c>
      <c r="C39" s="74">
        <f>C45+15</f>
        <v>48.25</v>
      </c>
      <c r="D39" s="69">
        <f>D45+'Raw Cost'!F3</f>
        <v>25.773611111111116</v>
      </c>
      <c r="E39" s="69"/>
      <c r="F39" s="69"/>
      <c r="G39" s="69"/>
      <c r="H39" s="68">
        <f t="shared" si="0"/>
        <v>22.476388888888884</v>
      </c>
      <c r="I39" s="70">
        <f t="shared" si="1"/>
        <v>0.87206983887481782</v>
      </c>
    </row>
    <row r="40" spans="1:9" ht="37" customHeight="1" x14ac:dyDescent="0.2">
      <c r="A40" s="86">
        <v>1193</v>
      </c>
      <c r="B40" s="84" t="s">
        <v>686</v>
      </c>
      <c r="C40" s="85">
        <v>29.25</v>
      </c>
      <c r="D40" s="69">
        <f>'Master Item List'!M196</f>
        <v>21.790538194444444</v>
      </c>
      <c r="E40" s="69">
        <f>'Master Item List'!T196</f>
        <v>44.25</v>
      </c>
      <c r="F40" s="69">
        <f>'Master Item List'!U196</f>
        <v>45.5</v>
      </c>
      <c r="G40" s="69">
        <f>'Master Item List'!V196</f>
        <v>46.5</v>
      </c>
      <c r="H40" s="69">
        <f t="shared" si="0"/>
        <v>7.4594618055555557</v>
      </c>
      <c r="I40" s="87">
        <f t="shared" si="1"/>
        <v>0.34232572591792915</v>
      </c>
    </row>
    <row r="41" spans="1:9" ht="37" customHeight="1" x14ac:dyDescent="0.2">
      <c r="A41" s="86">
        <v>4751</v>
      </c>
      <c r="B41" s="84" t="s">
        <v>687</v>
      </c>
      <c r="C41" s="85">
        <v>36.25</v>
      </c>
      <c r="D41" s="69">
        <f>'Master Item List'!M197</f>
        <v>20.794444444444444</v>
      </c>
      <c r="E41" s="69" cm="1">
        <f t="array" ref="E41:G41">'Master Item List'!T197:V197</f>
        <v>27</v>
      </c>
      <c r="F41" s="69">
        <v>28</v>
      </c>
      <c r="G41" s="69">
        <v>29</v>
      </c>
      <c r="H41" s="69">
        <f t="shared" si="0"/>
        <v>15.455555555555556</v>
      </c>
      <c r="I41" s="87">
        <f t="shared" si="1"/>
        <v>0.74325407427197432</v>
      </c>
    </row>
    <row r="42" spans="1:9" ht="37" customHeight="1" x14ac:dyDescent="0.2">
      <c r="A42" s="86">
        <v>1197</v>
      </c>
      <c r="B42" s="84" t="s">
        <v>688</v>
      </c>
      <c r="C42" s="85">
        <v>32.5</v>
      </c>
      <c r="D42" s="69">
        <f>'Master Item List'!M15</f>
        <v>24.217857142857142</v>
      </c>
      <c r="E42" s="69">
        <f>'Master Item List'!T15</f>
        <v>31.5</v>
      </c>
      <c r="F42" s="69">
        <f>'Master Item List'!U15</f>
        <v>32.75</v>
      </c>
      <c r="G42" s="69">
        <f>'Master Item List'!V15</f>
        <v>34</v>
      </c>
      <c r="H42" s="69">
        <f t="shared" si="0"/>
        <v>8.2821428571428584</v>
      </c>
      <c r="I42" s="87">
        <f t="shared" si="1"/>
        <v>0.34198495797080081</v>
      </c>
    </row>
    <row r="43" spans="1:9" s="71" customFormat="1" ht="37" hidden="1" customHeight="1" x14ac:dyDescent="0.2">
      <c r="A43" s="76">
        <v>2409</v>
      </c>
      <c r="B43" s="73" t="s">
        <v>689</v>
      </c>
      <c r="C43" s="74">
        <f>C40+15</f>
        <v>44.25</v>
      </c>
      <c r="D43" s="69">
        <f>D40+'Raw Cost'!F1</f>
        <v>30.990538194444444</v>
      </c>
      <c r="E43" s="69"/>
      <c r="F43" s="69"/>
      <c r="G43" s="69"/>
      <c r="H43" s="68">
        <f t="shared" si="0"/>
        <v>13.259461805555556</v>
      </c>
      <c r="I43" s="70">
        <f t="shared" si="1"/>
        <v>0.42785516412659558</v>
      </c>
    </row>
    <row r="44" spans="1:9" s="71" customFormat="1" ht="37" hidden="1" customHeight="1" x14ac:dyDescent="0.2">
      <c r="A44" s="76">
        <v>1189</v>
      </c>
      <c r="B44" s="73" t="s">
        <v>690</v>
      </c>
      <c r="C44" s="74">
        <f>C40+15</f>
        <v>44.25</v>
      </c>
      <c r="D44" s="69">
        <f>D40+'Raw Cost'!F3</f>
        <v>25.290538194444444</v>
      </c>
      <c r="E44" s="69"/>
      <c r="F44" s="69"/>
      <c r="G44" s="69"/>
      <c r="H44" s="68">
        <f t="shared" si="0"/>
        <v>18.959461805555556</v>
      </c>
      <c r="I44" s="70">
        <f t="shared" si="1"/>
        <v>0.74966620558989794</v>
      </c>
    </row>
    <row r="45" spans="1:9" ht="37" customHeight="1" x14ac:dyDescent="0.2">
      <c r="A45" s="86">
        <v>2031</v>
      </c>
      <c r="B45" s="84" t="s">
        <v>691</v>
      </c>
      <c r="C45" s="85">
        <v>33.25</v>
      </c>
      <c r="D45" s="69">
        <f>'Combo Pricing'!F8</f>
        <v>22.273611111111116</v>
      </c>
      <c r="E45" s="69">
        <f>'Combo Pricing'!L8</f>
        <v>31.25</v>
      </c>
      <c r="F45" s="69">
        <f>'Combo Pricing'!M8</f>
        <v>32.25</v>
      </c>
      <c r="G45" s="69">
        <f>'Combo Pricing'!N8</f>
        <v>33.5</v>
      </c>
      <c r="H45" s="69">
        <f t="shared" si="0"/>
        <v>10.976388888888884</v>
      </c>
      <c r="I45" s="87">
        <f t="shared" si="1"/>
        <v>0.49279790484504554</v>
      </c>
    </row>
    <row r="46" spans="1:9" s="71" customFormat="1" ht="37" hidden="1" customHeight="1" x14ac:dyDescent="0.2">
      <c r="A46" s="76">
        <v>3260</v>
      </c>
      <c r="B46" s="73" t="s">
        <v>692</v>
      </c>
      <c r="C46" s="74">
        <f>C48+15</f>
        <v>46.75</v>
      </c>
      <c r="D46" s="69">
        <f>D48+'Raw Cost'!F1</f>
        <v>29.626797385620915</v>
      </c>
      <c r="E46" s="69"/>
      <c r="F46" s="69"/>
      <c r="G46" s="69"/>
      <c r="H46" s="68">
        <f t="shared" si="0"/>
        <v>17.123202614379085</v>
      </c>
      <c r="I46" s="70">
        <f t="shared" si="1"/>
        <v>0.57796333473052575</v>
      </c>
    </row>
    <row r="47" spans="1:9" s="71" customFormat="1" ht="37" hidden="1" customHeight="1" x14ac:dyDescent="0.2">
      <c r="A47" s="76">
        <v>3261</v>
      </c>
      <c r="B47" s="73" t="s">
        <v>693</v>
      </c>
      <c r="C47" s="74">
        <f>C48+15</f>
        <v>46.75</v>
      </c>
      <c r="D47" s="69">
        <f>D48+'Raw Cost'!F3</f>
        <v>23.926797385620915</v>
      </c>
      <c r="E47" s="69"/>
      <c r="F47" s="69"/>
      <c r="G47" s="69"/>
      <c r="H47" s="68">
        <f t="shared" si="0"/>
        <v>22.823202614379085</v>
      </c>
      <c r="I47" s="70">
        <f t="shared" si="1"/>
        <v>0.95387620192307687</v>
      </c>
    </row>
    <row r="48" spans="1:9" ht="37" customHeight="1" x14ac:dyDescent="0.2">
      <c r="A48" s="86">
        <v>3259</v>
      </c>
      <c r="B48" s="84" t="s">
        <v>694</v>
      </c>
      <c r="C48" s="85">
        <v>31.75</v>
      </c>
      <c r="D48" s="69">
        <f>'Combo Pricing'!F9</f>
        <v>20.426797385620915</v>
      </c>
      <c r="E48" s="69">
        <f>'Combo Pricing'!L9</f>
        <v>28.75</v>
      </c>
      <c r="F48" s="69">
        <f>'Combo Pricing'!M9</f>
        <v>29.75</v>
      </c>
      <c r="G48" s="69">
        <f>'Combo Pricing'!N9</f>
        <v>30.75</v>
      </c>
      <c r="H48" s="69">
        <f t="shared" si="0"/>
        <v>11.323202614379085</v>
      </c>
      <c r="I48" s="87">
        <f t="shared" si="1"/>
        <v>0.55433078424471249</v>
      </c>
    </row>
    <row r="49" spans="1:9" ht="37" customHeight="1" x14ac:dyDescent="0.2">
      <c r="A49" s="86">
        <v>3262</v>
      </c>
      <c r="B49" s="84" t="s">
        <v>695</v>
      </c>
      <c r="C49" s="85">
        <v>35.25</v>
      </c>
      <c r="D49" s="69">
        <f>'Combo Pricing'!F10</f>
        <v>43.369444444444447</v>
      </c>
      <c r="E49" s="69">
        <f>'Combo Pricing'!L10</f>
        <v>58.75</v>
      </c>
      <c r="F49" s="69">
        <f>'Combo Pricing'!M10</f>
        <v>60.75</v>
      </c>
      <c r="G49" s="69">
        <f>'Combo Pricing'!N10</f>
        <v>63</v>
      </c>
      <c r="H49" s="69">
        <f t="shared" ref="H49:H81" si="4">C49-D49</f>
        <v>-8.1194444444444471</v>
      </c>
      <c r="I49" s="87">
        <f t="shared" ref="I49:I81" si="5">H49/D49</f>
        <v>-0.1872157817203613</v>
      </c>
    </row>
    <row r="50" spans="1:9" s="71" customFormat="1" ht="37" hidden="1" customHeight="1" x14ac:dyDescent="0.2">
      <c r="A50" s="76">
        <v>3263</v>
      </c>
      <c r="B50" s="73" t="s">
        <v>696</v>
      </c>
      <c r="C50" s="74">
        <f>C49+15</f>
        <v>50.25</v>
      </c>
      <c r="D50" s="69">
        <f>D49+'Raw Cost'!F1</f>
        <v>52.569444444444443</v>
      </c>
      <c r="E50" s="69"/>
      <c r="F50" s="69"/>
      <c r="G50" s="69"/>
      <c r="H50" s="68">
        <f t="shared" si="4"/>
        <v>-2.3194444444444429</v>
      </c>
      <c r="I50" s="70">
        <f t="shared" si="5"/>
        <v>-4.4121532364597066E-2</v>
      </c>
    </row>
    <row r="51" spans="1:9" s="71" customFormat="1" ht="37" hidden="1" customHeight="1" x14ac:dyDescent="0.2">
      <c r="A51" s="76">
        <v>3264</v>
      </c>
      <c r="B51" s="73" t="s">
        <v>697</v>
      </c>
      <c r="C51" s="74">
        <f>C49+15</f>
        <v>50.25</v>
      </c>
      <c r="D51" s="69">
        <f>D49+'Raw Cost'!F3</f>
        <v>46.869444444444447</v>
      </c>
      <c r="E51" s="69"/>
      <c r="F51" s="69"/>
      <c r="G51" s="69"/>
      <c r="H51" s="68">
        <f t="shared" si="4"/>
        <v>3.3805555555555529</v>
      </c>
      <c r="I51" s="70">
        <f t="shared" si="5"/>
        <v>7.2127066911633911E-2</v>
      </c>
    </row>
    <row r="52" spans="1:9" ht="37" customHeight="1" x14ac:dyDescent="0.2">
      <c r="A52" s="86">
        <v>4581</v>
      </c>
      <c r="B52" s="84" t="s">
        <v>698</v>
      </c>
      <c r="C52" s="85">
        <v>81.5</v>
      </c>
      <c r="D52" s="69">
        <f>'Master Item List'!M17</f>
        <v>55.854999999999997</v>
      </c>
      <c r="E52" s="69">
        <f>'Master Item List'!T17</f>
        <v>72.5</v>
      </c>
      <c r="F52" s="69">
        <f>'Master Item List'!U17</f>
        <v>75.5</v>
      </c>
      <c r="G52" s="69">
        <f>'Master Item List'!V17</f>
        <v>78.25</v>
      </c>
      <c r="H52" s="69">
        <f t="shared" si="4"/>
        <v>25.645000000000003</v>
      </c>
      <c r="I52" s="87">
        <f t="shared" si="5"/>
        <v>0.45913526094351453</v>
      </c>
    </row>
    <row r="53" spans="1:9" ht="37" customHeight="1" x14ac:dyDescent="0.2">
      <c r="A53" s="86">
        <v>1429</v>
      </c>
      <c r="B53" s="84" t="s">
        <v>699</v>
      </c>
      <c r="C53" s="85">
        <v>81.5</v>
      </c>
      <c r="D53" s="69">
        <f>D52</f>
        <v>55.854999999999997</v>
      </c>
      <c r="E53" s="69">
        <f>E52</f>
        <v>72.5</v>
      </c>
      <c r="F53" s="69">
        <f>F52</f>
        <v>75.5</v>
      </c>
      <c r="G53" s="69">
        <f>G52</f>
        <v>78.25</v>
      </c>
      <c r="H53" s="69">
        <f t="shared" si="4"/>
        <v>25.645000000000003</v>
      </c>
      <c r="I53" s="87">
        <f t="shared" si="5"/>
        <v>0.45913526094351453</v>
      </c>
    </row>
    <row r="54" spans="1:9" ht="37" customHeight="1" x14ac:dyDescent="0.2">
      <c r="A54" s="86">
        <v>1446</v>
      </c>
      <c r="B54" s="84" t="s">
        <v>700</v>
      </c>
      <c r="C54" s="85">
        <v>72.25</v>
      </c>
      <c r="D54" s="69">
        <f>'Master Item List'!M16</f>
        <v>46.454999999999998</v>
      </c>
      <c r="E54" s="69">
        <f>'Master Item List'!T16</f>
        <v>60.5</v>
      </c>
      <c r="F54" s="69">
        <f>'Master Item List'!U16</f>
        <v>62.75</v>
      </c>
      <c r="G54" s="69">
        <f>'Master Item List'!V16</f>
        <v>65</v>
      </c>
      <c r="H54" s="69">
        <f t="shared" si="4"/>
        <v>25.795000000000002</v>
      </c>
      <c r="I54" s="87">
        <f t="shared" si="5"/>
        <v>0.55526853944677645</v>
      </c>
    </row>
    <row r="55" spans="1:9" ht="37" customHeight="1" x14ac:dyDescent="0.2">
      <c r="A55" s="83">
        <v>515</v>
      </c>
      <c r="B55" s="84" t="s">
        <v>701</v>
      </c>
      <c r="C55" s="85">
        <v>20</v>
      </c>
      <c r="D55" s="69">
        <f>'Master Item List'!M19</f>
        <v>17.819285714285712</v>
      </c>
      <c r="E55" s="69">
        <f>'Master Item List'!T19</f>
        <v>23.25</v>
      </c>
      <c r="F55" s="69">
        <f>'Master Item List'!U19</f>
        <v>24</v>
      </c>
      <c r="G55" s="69">
        <f>'Master Item List'!V19</f>
        <v>25</v>
      </c>
      <c r="H55" s="69">
        <f t="shared" si="4"/>
        <v>2.1807142857142878</v>
      </c>
      <c r="I55" s="87">
        <f t="shared" si="5"/>
        <v>0.12237944442217515</v>
      </c>
    </row>
    <row r="56" spans="1:9" ht="37" customHeight="1" x14ac:dyDescent="0.2">
      <c r="A56" s="89">
        <v>4709</v>
      </c>
      <c r="B56" s="84" t="s">
        <v>702</v>
      </c>
      <c r="C56" s="85">
        <v>18.5</v>
      </c>
      <c r="D56" s="69">
        <f>'Master Item List'!M43</f>
        <v>17.819285714285712</v>
      </c>
      <c r="E56" s="69">
        <f>'Master Item List'!T43</f>
        <v>23.25</v>
      </c>
      <c r="F56" s="69">
        <f>'Master Item List'!U43</f>
        <v>24</v>
      </c>
      <c r="G56" s="69">
        <f>'Master Item List'!V43</f>
        <v>25</v>
      </c>
      <c r="H56" s="69">
        <f t="shared" si="4"/>
        <v>0.68071428571428783</v>
      </c>
      <c r="I56" s="87">
        <f t="shared" si="5"/>
        <v>3.8200986090512007E-2</v>
      </c>
    </row>
    <row r="57" spans="1:9" ht="37" customHeight="1" x14ac:dyDescent="0.2">
      <c r="A57" s="86">
        <v>4711</v>
      </c>
      <c r="B57" s="84" t="s">
        <v>703</v>
      </c>
      <c r="C57" s="85">
        <v>32.5</v>
      </c>
      <c r="D57" s="69">
        <f>'Master Item List'!M21</f>
        <v>22.390714285714285</v>
      </c>
      <c r="E57" s="69">
        <f>'Master Item List'!T21</f>
        <v>29</v>
      </c>
      <c r="F57" s="69">
        <f>'Master Item List'!U21</f>
        <v>30.25</v>
      </c>
      <c r="G57" s="69">
        <f>'Master Item List'!V21</f>
        <v>31.25</v>
      </c>
      <c r="H57" s="69">
        <f t="shared" si="4"/>
        <v>10.109285714285715</v>
      </c>
      <c r="I57" s="87">
        <f t="shared" si="5"/>
        <v>0.45149456088301915</v>
      </c>
    </row>
    <row r="58" spans="1:9" ht="37" customHeight="1" x14ac:dyDescent="0.2">
      <c r="A58" s="83">
        <v>43</v>
      </c>
      <c r="B58" s="84" t="s">
        <v>704</v>
      </c>
      <c r="C58" s="85">
        <v>32.5</v>
      </c>
      <c r="D58" s="69">
        <f>'Master Item List'!M21</f>
        <v>22.390714285714285</v>
      </c>
      <c r="E58" s="69">
        <f>'Master Item List'!T21</f>
        <v>29</v>
      </c>
      <c r="F58" s="69">
        <f>'Master Item List'!U21</f>
        <v>30.25</v>
      </c>
      <c r="G58" s="69">
        <f>'Master Item List'!V21</f>
        <v>31.25</v>
      </c>
      <c r="H58" s="69">
        <f t="shared" si="4"/>
        <v>10.109285714285715</v>
      </c>
      <c r="I58" s="87">
        <f t="shared" si="5"/>
        <v>0.45149456088301915</v>
      </c>
    </row>
    <row r="59" spans="1:9" ht="37" customHeight="1" x14ac:dyDescent="0.2">
      <c r="A59" s="86">
        <v>3271</v>
      </c>
      <c r="B59" s="84" t="s">
        <v>705</v>
      </c>
      <c r="C59" s="85">
        <v>35.25</v>
      </c>
      <c r="D59" s="69">
        <f>'Combo Pricing'!F11</f>
        <v>40.407189542483664</v>
      </c>
      <c r="E59" s="69">
        <f>'Master Item List'!T22</f>
        <v>18.5</v>
      </c>
      <c r="F59" s="69">
        <f>'Master Item List'!U22</f>
        <v>19.25</v>
      </c>
      <c r="G59" s="69">
        <f>'Master Item List'!V22</f>
        <v>19.75</v>
      </c>
      <c r="H59" s="69">
        <f t="shared" si="4"/>
        <v>-5.157189542483664</v>
      </c>
      <c r="I59" s="87">
        <f t="shared" si="5"/>
        <v>-0.12763049350565331</v>
      </c>
    </row>
    <row r="60" spans="1:9" s="71" customFormat="1" ht="37" hidden="1" customHeight="1" x14ac:dyDescent="0.2">
      <c r="A60" s="76">
        <v>3272</v>
      </c>
      <c r="B60" s="73" t="s">
        <v>706</v>
      </c>
      <c r="C60" s="74">
        <f>C59+15</f>
        <v>50.25</v>
      </c>
      <c r="D60" s="69">
        <f>D59+'Raw Cost'!F3</f>
        <v>43.907189542483664</v>
      </c>
      <c r="E60" s="69"/>
      <c r="F60" s="69"/>
      <c r="G60" s="69"/>
      <c r="H60" s="68">
        <f t="shared" si="4"/>
        <v>6.342810457516336</v>
      </c>
      <c r="I60" s="70">
        <f t="shared" si="5"/>
        <v>0.14445949566822461</v>
      </c>
    </row>
    <row r="61" spans="1:9" s="71" customFormat="1" ht="37" hidden="1" customHeight="1" x14ac:dyDescent="0.2">
      <c r="A61" s="76">
        <v>3270</v>
      </c>
      <c r="B61" s="73" t="s">
        <v>707</v>
      </c>
      <c r="C61" s="74">
        <f>C67+15</f>
        <v>48.5</v>
      </c>
      <c r="D61" s="69">
        <f>D67+'Raw Cost'!F3</f>
        <v>26.73937254901961</v>
      </c>
      <c r="E61" s="69"/>
      <c r="F61" s="69"/>
      <c r="G61" s="69"/>
      <c r="H61" s="68">
        <f t="shared" si="4"/>
        <v>21.76062745098039</v>
      </c>
      <c r="I61" s="70">
        <f t="shared" si="5"/>
        <v>0.81380471479231609</v>
      </c>
    </row>
    <row r="62" spans="1:9" s="71" customFormat="1" ht="37" hidden="1" customHeight="1" x14ac:dyDescent="0.2">
      <c r="A62" s="76">
        <v>3269</v>
      </c>
      <c r="B62" s="73" t="s">
        <v>708</v>
      </c>
      <c r="C62" s="74">
        <f>C68+15</f>
        <v>48.25</v>
      </c>
      <c r="D62" s="69">
        <f>D68+'Raw Cost'!F3</f>
        <v>25.991811145510837</v>
      </c>
      <c r="E62" s="69"/>
      <c r="F62" s="69"/>
      <c r="G62" s="69"/>
      <c r="H62" s="68">
        <f t="shared" si="4"/>
        <v>22.258188854489163</v>
      </c>
      <c r="I62" s="70">
        <f t="shared" si="5"/>
        <v>0.85635390046043303</v>
      </c>
    </row>
    <row r="63" spans="1:9" ht="37" customHeight="1" x14ac:dyDescent="0.2">
      <c r="A63" s="86">
        <v>2815</v>
      </c>
      <c r="B63" s="84" t="s">
        <v>709</v>
      </c>
      <c r="C63" s="85">
        <v>31.25</v>
      </c>
      <c r="D63" s="69">
        <f>'Master Item List'!M205</f>
        <v>16.611666666666665</v>
      </c>
      <c r="E63" s="69">
        <f>'Master Item List'!T205</f>
        <v>37.5</v>
      </c>
      <c r="F63" s="69">
        <f>'Master Item List'!U205</f>
        <v>38.5</v>
      </c>
      <c r="G63" s="69">
        <f>'Master Item List'!V205</f>
        <v>39.25</v>
      </c>
      <c r="H63" s="69">
        <f t="shared" si="4"/>
        <v>14.638333333333335</v>
      </c>
      <c r="I63" s="87">
        <f t="shared" si="5"/>
        <v>0.88120798635497166</v>
      </c>
    </row>
    <row r="64" spans="1:9" s="71" customFormat="1" ht="37" hidden="1" customHeight="1" x14ac:dyDescent="0.2">
      <c r="A64" s="76">
        <v>3267</v>
      </c>
      <c r="B64" s="73" t="s">
        <v>710</v>
      </c>
      <c r="C64" s="74">
        <f>C63+15</f>
        <v>46.25</v>
      </c>
      <c r="D64" s="69">
        <f>D63+'Raw Cost'!F3</f>
        <v>20.111666666666665</v>
      </c>
      <c r="E64" s="69"/>
      <c r="F64" s="69"/>
      <c r="G64" s="69"/>
      <c r="H64" s="68">
        <f t="shared" si="4"/>
        <v>26.138333333333335</v>
      </c>
      <c r="I64" s="70">
        <f t="shared" si="5"/>
        <v>1.2996602303803764</v>
      </c>
    </row>
    <row r="65" spans="1:9" ht="37" customHeight="1" x14ac:dyDescent="0.2">
      <c r="A65" s="83">
        <v>978</v>
      </c>
      <c r="B65" s="84" t="s">
        <v>711</v>
      </c>
      <c r="C65" s="85">
        <v>23.75</v>
      </c>
      <c r="D65" s="69">
        <f>'Master Item List'!M23</f>
        <v>14.190555555555555</v>
      </c>
      <c r="E65" s="69">
        <f>'Master Item List'!T23</f>
        <v>18.5</v>
      </c>
      <c r="F65" s="69">
        <f>'Master Item List'!U23</f>
        <v>19.25</v>
      </c>
      <c r="G65" s="69">
        <f>'Master Item List'!V23</f>
        <v>19.75</v>
      </c>
      <c r="H65" s="69">
        <f t="shared" si="4"/>
        <v>9.5594444444444449</v>
      </c>
      <c r="I65" s="87">
        <f t="shared" si="5"/>
        <v>0.67364835767137776</v>
      </c>
    </row>
    <row r="66" spans="1:9" ht="37" customHeight="1" x14ac:dyDescent="0.2">
      <c r="A66" s="83">
        <v>612</v>
      </c>
      <c r="B66" s="84" t="s">
        <v>712</v>
      </c>
      <c r="C66" s="85">
        <v>23.75</v>
      </c>
      <c r="D66" s="69">
        <f>'Master Item List'!M24</f>
        <v>21.20611111111111</v>
      </c>
      <c r="E66" s="69">
        <f>'Master Item List'!T24</f>
        <v>27.5</v>
      </c>
      <c r="F66" s="69">
        <f>'Master Item List'!U24</f>
        <v>28.75</v>
      </c>
      <c r="G66" s="69">
        <f>'Master Item List'!V24</f>
        <v>29.75</v>
      </c>
      <c r="H66" s="69">
        <f t="shared" si="4"/>
        <v>2.5438888888888904</v>
      </c>
      <c r="I66" s="87">
        <f t="shared" si="5"/>
        <v>0.11996017919362875</v>
      </c>
    </row>
    <row r="67" spans="1:9" ht="37" customHeight="1" x14ac:dyDescent="0.2">
      <c r="A67" s="86">
        <v>2027</v>
      </c>
      <c r="B67" s="84" t="s">
        <v>713</v>
      </c>
      <c r="C67" s="85">
        <v>33.5</v>
      </c>
      <c r="D67" s="69">
        <f>'Combo Pricing'!F12</f>
        <v>23.23937254901961</v>
      </c>
      <c r="E67" s="69">
        <f>'Combo Pricing'!L12</f>
        <v>32.5</v>
      </c>
      <c r="F67" s="69">
        <f>'Combo Pricing'!M12</f>
        <v>33.5</v>
      </c>
      <c r="G67" s="69">
        <f>'Combo Pricing'!N12</f>
        <v>34.75</v>
      </c>
      <c r="H67" s="69">
        <f t="shared" si="4"/>
        <v>10.26062745098039</v>
      </c>
      <c r="I67" s="87">
        <f t="shared" si="5"/>
        <v>0.44151912575682906</v>
      </c>
    </row>
    <row r="68" spans="1:9" ht="37" customHeight="1" x14ac:dyDescent="0.2">
      <c r="A68" s="86">
        <v>3268</v>
      </c>
      <c r="B68" s="84" t="s">
        <v>714</v>
      </c>
      <c r="C68" s="85">
        <v>33.25</v>
      </c>
      <c r="D68" s="69">
        <f>'Combo Pricing'!F13</f>
        <v>22.491811145510837</v>
      </c>
      <c r="E68" s="69">
        <f>'Combo Pricing'!L13</f>
        <v>31.5</v>
      </c>
      <c r="F68" s="69">
        <f>'Combo Pricing'!M13</f>
        <v>32.5</v>
      </c>
      <c r="G68" s="69">
        <f>'Combo Pricing'!N13</f>
        <v>33.75</v>
      </c>
      <c r="H68" s="69">
        <f t="shared" si="4"/>
        <v>10.758188854489163</v>
      </c>
      <c r="I68" s="87">
        <f t="shared" si="5"/>
        <v>0.47831580946901203</v>
      </c>
    </row>
    <row r="69" spans="1:9" s="71" customFormat="1" ht="37" hidden="1" customHeight="1" x14ac:dyDescent="0.2">
      <c r="A69" s="76">
        <v>3278</v>
      </c>
      <c r="B69" s="73" t="s">
        <v>715</v>
      </c>
      <c r="C69" s="74">
        <f>C96+15</f>
        <v>47.25</v>
      </c>
      <c r="D69" s="69">
        <f>D96+'Raw Cost'!F1</f>
        <v>27.603571428571428</v>
      </c>
      <c r="E69" s="69"/>
      <c r="F69" s="69"/>
      <c r="G69" s="69"/>
      <c r="H69" s="68">
        <f t="shared" si="4"/>
        <v>19.646428571428572</v>
      </c>
      <c r="I69" s="70">
        <f t="shared" si="5"/>
        <v>0.71173502393582611</v>
      </c>
    </row>
    <row r="70" spans="1:9" s="71" customFormat="1" ht="37" hidden="1" customHeight="1" x14ac:dyDescent="0.2">
      <c r="A70" s="76">
        <v>3279</v>
      </c>
      <c r="B70" s="73" t="s">
        <v>716</v>
      </c>
      <c r="C70" s="74">
        <f>C96+15</f>
        <v>47.25</v>
      </c>
      <c r="D70" s="69">
        <f>D96+'Raw Cost'!F3</f>
        <v>21.903571428571428</v>
      </c>
      <c r="E70" s="69"/>
      <c r="F70" s="69"/>
      <c r="G70" s="69"/>
      <c r="H70" s="68">
        <f t="shared" si="4"/>
        <v>25.346428571428572</v>
      </c>
      <c r="I70" s="70">
        <f t="shared" si="5"/>
        <v>1.1571824555682375</v>
      </c>
    </row>
    <row r="71" spans="1:9" ht="37" customHeight="1" x14ac:dyDescent="0.2">
      <c r="A71" s="86">
        <v>3284</v>
      </c>
      <c r="B71" s="84" t="s">
        <v>717</v>
      </c>
      <c r="C71" s="85">
        <v>35.25</v>
      </c>
      <c r="D71" s="69">
        <f>'Master Item List'!M220</f>
        <v>21.975000000000001</v>
      </c>
      <c r="E71" s="69" t="e">
        <f>'Combo Pricing'!L18</f>
        <v>#N/A</v>
      </c>
      <c r="F71" s="69" t="e">
        <f>'Combo Pricing'!M18</f>
        <v>#N/A</v>
      </c>
      <c r="G71" s="69" t="e">
        <f>'Combo Pricing'!N18</f>
        <v>#N/A</v>
      </c>
      <c r="H71" s="69">
        <f t="shared" si="4"/>
        <v>13.274999999999999</v>
      </c>
      <c r="I71" s="87">
        <f t="shared" si="5"/>
        <v>0.60409556313993162</v>
      </c>
    </row>
    <row r="72" spans="1:9" s="71" customFormat="1" ht="37" hidden="1" customHeight="1" x14ac:dyDescent="0.2">
      <c r="A72" s="76">
        <v>3285</v>
      </c>
      <c r="B72" s="73" t="s">
        <v>718</v>
      </c>
      <c r="C72" s="74">
        <f>C71+15</f>
        <v>50.25</v>
      </c>
      <c r="D72" s="69">
        <f>D71+'Raw Cost'!F1</f>
        <v>31.175000000000001</v>
      </c>
      <c r="E72" s="69"/>
      <c r="F72" s="69"/>
      <c r="G72" s="69"/>
      <c r="H72" s="68">
        <f t="shared" si="4"/>
        <v>19.074999999999999</v>
      </c>
      <c r="I72" s="70">
        <f t="shared" si="5"/>
        <v>0.61186848436246988</v>
      </c>
    </row>
    <row r="73" spans="1:9" s="71" customFormat="1" ht="37" hidden="1" customHeight="1" x14ac:dyDescent="0.2">
      <c r="A73" s="76">
        <v>3286</v>
      </c>
      <c r="B73" s="73" t="s">
        <v>719</v>
      </c>
      <c r="C73" s="74">
        <f>C71+15</f>
        <v>50.25</v>
      </c>
      <c r="D73" s="69">
        <f>D71+'Raw Cost'!F3</f>
        <v>25.475000000000001</v>
      </c>
      <c r="E73" s="69"/>
      <c r="F73" s="69"/>
      <c r="G73" s="69"/>
      <c r="H73" s="68">
        <f t="shared" si="4"/>
        <v>24.774999999999999</v>
      </c>
      <c r="I73" s="70">
        <f t="shared" si="5"/>
        <v>0.97252208047104993</v>
      </c>
    </row>
    <row r="74" spans="1:9" ht="37" customHeight="1" x14ac:dyDescent="0.2">
      <c r="A74" s="86">
        <v>4752</v>
      </c>
      <c r="B74" s="84" t="s">
        <v>720</v>
      </c>
      <c r="C74" s="85">
        <v>38.5</v>
      </c>
      <c r="D74" s="69">
        <f>'Master Item List'!M189</f>
        <v>18.433333333333334</v>
      </c>
      <c r="E74" s="69">
        <f>'Master Item List'!T189</f>
        <v>40</v>
      </c>
      <c r="F74" s="69">
        <f>'Master Item List'!U189</f>
        <v>41</v>
      </c>
      <c r="G74" s="69">
        <f>'Master Item List'!V189</f>
        <v>41.75</v>
      </c>
      <c r="H74" s="69">
        <f t="shared" si="4"/>
        <v>20.066666666666666</v>
      </c>
      <c r="I74" s="87">
        <f t="shared" si="5"/>
        <v>1.0886075949367089</v>
      </c>
    </row>
    <row r="75" spans="1:9" ht="37" customHeight="1" x14ac:dyDescent="0.2">
      <c r="A75" s="86">
        <v>3274</v>
      </c>
      <c r="B75" s="84" t="s">
        <v>721</v>
      </c>
      <c r="C75" s="85">
        <v>27.5</v>
      </c>
      <c r="D75" s="69">
        <f>'Master Item List'!M225</f>
        <v>21.35</v>
      </c>
      <c r="E75" s="69">
        <f>'Master Item List'!T225</f>
        <v>43.75</v>
      </c>
      <c r="F75" s="69">
        <f>'Master Item List'!U225</f>
        <v>44.75</v>
      </c>
      <c r="G75" s="69">
        <f>'Master Item List'!V225</f>
        <v>46</v>
      </c>
      <c r="H75" s="69">
        <f t="shared" si="4"/>
        <v>6.1499999999999986</v>
      </c>
      <c r="I75" s="87">
        <f t="shared" si="5"/>
        <v>0.28805620608899291</v>
      </c>
    </row>
    <row r="76" spans="1:9" s="71" customFormat="1" ht="37" hidden="1" customHeight="1" x14ac:dyDescent="0.2">
      <c r="A76" s="76">
        <v>3275</v>
      </c>
      <c r="B76" s="73" t="s">
        <v>722</v>
      </c>
      <c r="C76" s="74">
        <f>C75+15</f>
        <v>42.5</v>
      </c>
      <c r="D76" s="69">
        <f>D75+'Raw Cost'!F1</f>
        <v>30.55</v>
      </c>
      <c r="E76" s="69"/>
      <c r="F76" s="69"/>
      <c r="G76" s="69"/>
      <c r="H76" s="68">
        <f t="shared" si="4"/>
        <v>11.95</v>
      </c>
      <c r="I76" s="70">
        <f t="shared" si="5"/>
        <v>0.39116202945990175</v>
      </c>
    </row>
    <row r="77" spans="1:9" s="71" customFormat="1" ht="37" hidden="1" customHeight="1" x14ac:dyDescent="0.2">
      <c r="A77" s="76">
        <v>3276</v>
      </c>
      <c r="B77" s="73" t="s">
        <v>723</v>
      </c>
      <c r="C77" s="74">
        <f>C75+15</f>
        <v>42.5</v>
      </c>
      <c r="D77" s="69">
        <f>D75+'Raw Cost'!F3</f>
        <v>24.85</v>
      </c>
      <c r="E77" s="69"/>
      <c r="F77" s="69"/>
      <c r="G77" s="69"/>
      <c r="H77" s="68">
        <f t="shared" si="4"/>
        <v>17.649999999999999</v>
      </c>
      <c r="I77" s="70">
        <f t="shared" si="5"/>
        <v>0.71026156941649887</v>
      </c>
    </row>
    <row r="78" spans="1:9" s="71" customFormat="1" ht="37" hidden="1" customHeight="1" x14ac:dyDescent="0.2">
      <c r="A78" s="76">
        <v>2410</v>
      </c>
      <c r="B78" s="73" t="s">
        <v>724</v>
      </c>
      <c r="C78" s="74">
        <f>C81+15</f>
        <v>45.5</v>
      </c>
      <c r="D78" s="69">
        <f>D81+'Raw Cost'!F1</f>
        <v>25.784375000000001</v>
      </c>
      <c r="E78" s="69"/>
      <c r="F78" s="69"/>
      <c r="G78" s="69"/>
      <c r="H78" s="68">
        <f t="shared" si="4"/>
        <v>19.715624999999999</v>
      </c>
      <c r="I78" s="70">
        <f t="shared" si="5"/>
        <v>0.76463458974669729</v>
      </c>
    </row>
    <row r="79" spans="1:9" s="71" customFormat="1" ht="37" hidden="1" customHeight="1" x14ac:dyDescent="0.2">
      <c r="A79" s="76">
        <v>3280</v>
      </c>
      <c r="B79" s="73" t="s">
        <v>725</v>
      </c>
      <c r="C79" s="74">
        <f>C81+15</f>
        <v>45.5</v>
      </c>
      <c r="D79" s="69">
        <f>D81+'Raw Cost'!F3</f>
        <v>20.084375000000001</v>
      </c>
      <c r="E79" s="69"/>
      <c r="F79" s="69"/>
      <c r="G79" s="69"/>
      <c r="H79" s="68">
        <f t="shared" si="4"/>
        <v>25.415624999999999</v>
      </c>
      <c r="I79" s="70">
        <f t="shared" si="5"/>
        <v>1.2654426637622529</v>
      </c>
    </row>
    <row r="80" spans="1:9" ht="37" customHeight="1" x14ac:dyDescent="0.2">
      <c r="A80" s="86">
        <v>1275</v>
      </c>
      <c r="B80" s="84" t="s">
        <v>726</v>
      </c>
      <c r="C80" s="85">
        <v>38.5</v>
      </c>
      <c r="D80" s="69">
        <f>'Master Item List'!M189</f>
        <v>18.433333333333334</v>
      </c>
      <c r="E80" s="69">
        <f>'Master Item List'!T189</f>
        <v>40</v>
      </c>
      <c r="F80" s="69">
        <f>'Master Item List'!U189</f>
        <v>41</v>
      </c>
      <c r="G80" s="69">
        <f>'Master Item List'!V189</f>
        <v>41.75</v>
      </c>
      <c r="H80" s="69">
        <f t="shared" si="4"/>
        <v>20.066666666666666</v>
      </c>
      <c r="I80" s="87">
        <f t="shared" si="5"/>
        <v>1.0886075949367089</v>
      </c>
    </row>
    <row r="81" spans="1:9" ht="37" customHeight="1" x14ac:dyDescent="0.2">
      <c r="A81" s="83">
        <v>86</v>
      </c>
      <c r="B81" s="84" t="s">
        <v>727</v>
      </c>
      <c r="C81" s="85">
        <v>30.5</v>
      </c>
      <c r="D81" s="69">
        <f>'Master Item List'!M218</f>
        <v>16.584375000000001</v>
      </c>
      <c r="E81" s="69">
        <f>'Master Item List'!T218</f>
        <v>37.5</v>
      </c>
      <c r="F81" s="69">
        <f>'Master Item List'!U218</f>
        <v>38.5</v>
      </c>
      <c r="G81" s="69">
        <f>'Master Item List'!V218</f>
        <v>39.25</v>
      </c>
      <c r="H81" s="69">
        <f t="shared" si="4"/>
        <v>13.915624999999999</v>
      </c>
      <c r="I81" s="87">
        <f t="shared" si="5"/>
        <v>0.83908045977011481</v>
      </c>
    </row>
    <row r="82" spans="1:9" ht="37" customHeight="1" x14ac:dyDescent="0.2">
      <c r="A82" s="83">
        <v>36</v>
      </c>
      <c r="B82" s="84" t="s">
        <v>728</v>
      </c>
      <c r="C82" s="85">
        <v>35.75</v>
      </c>
      <c r="D82" s="69">
        <f>'Master Item List'!M31</f>
        <v>16.346428571428572</v>
      </c>
      <c r="E82" s="69">
        <f>'Master Item List'!T222</f>
        <v>42</v>
      </c>
      <c r="F82" s="69">
        <f>'Master Item List'!U222</f>
        <v>43</v>
      </c>
      <c r="G82" s="69">
        <f>'Master Item List'!V222</f>
        <v>44</v>
      </c>
      <c r="H82" s="69">
        <f t="shared" ref="H82:H84" si="6">C82-D82</f>
        <v>19.403571428571428</v>
      </c>
      <c r="I82" s="87">
        <f t="shared" ref="I82:I84" si="7">H82/D82</f>
        <v>1.1870220668560192</v>
      </c>
    </row>
    <row r="83" spans="1:9" ht="37" customHeight="1" x14ac:dyDescent="0.2">
      <c r="A83" s="83">
        <v>479</v>
      </c>
      <c r="B83" s="84" t="s">
        <v>729</v>
      </c>
      <c r="C83" s="85">
        <v>24.75</v>
      </c>
      <c r="D83" s="69">
        <f>'Master Item List'!M32</f>
        <v>25.247857142857143</v>
      </c>
      <c r="E83" s="69">
        <f>'Master Item List'!T32</f>
        <v>32.75</v>
      </c>
      <c r="F83" s="69">
        <f>'Master Item List'!U32</f>
        <v>34</v>
      </c>
      <c r="G83" s="69">
        <f>'Master Item List'!V32</f>
        <v>35.25</v>
      </c>
      <c r="H83" s="69">
        <f t="shared" si="6"/>
        <v>-0.49785714285714278</v>
      </c>
      <c r="I83" s="87">
        <f t="shared" si="7"/>
        <v>-1.9718788015956088E-2</v>
      </c>
    </row>
    <row r="84" spans="1:9" ht="37" customHeight="1" x14ac:dyDescent="0.2">
      <c r="A84" s="83">
        <v>51</v>
      </c>
      <c r="B84" s="84" t="s">
        <v>730</v>
      </c>
      <c r="C84" s="85">
        <v>35.75</v>
      </c>
      <c r="D84" s="69" t="e">
        <f>'Master Item List'!#REF!</f>
        <v>#REF!</v>
      </c>
      <c r="E84" s="69" t="e">
        <f>'Master Item List'!#REF!</f>
        <v>#REF!</v>
      </c>
      <c r="F84" s="69" t="e">
        <f>'Master Item List'!#REF!</f>
        <v>#REF!</v>
      </c>
      <c r="G84" s="69" t="e">
        <f>'Master Item List'!#REF!</f>
        <v>#REF!</v>
      </c>
      <c r="H84" s="69" t="e">
        <f t="shared" si="6"/>
        <v>#REF!</v>
      </c>
      <c r="I84" s="87" t="e">
        <f t="shared" si="7"/>
        <v>#REF!</v>
      </c>
    </row>
    <row r="85" spans="1:9" ht="37" customHeight="1" x14ac:dyDescent="0.2">
      <c r="A85" s="86">
        <v>1402</v>
      </c>
      <c r="B85" s="84" t="s">
        <v>731</v>
      </c>
      <c r="C85" s="85">
        <v>31.75</v>
      </c>
      <c r="D85" s="69">
        <f>'Master Item List'!M222</f>
        <v>19.927586206896553</v>
      </c>
      <c r="E85" s="69">
        <f>'Master Item List'!T222</f>
        <v>42</v>
      </c>
      <c r="F85" s="69">
        <f>'Master Item List'!U222</f>
        <v>43</v>
      </c>
      <c r="G85" s="69">
        <f>'Master Item List'!V222</f>
        <v>44</v>
      </c>
      <c r="H85" s="69">
        <f t="shared" ref="H85:H96" si="8">C85-D85</f>
        <v>11.822413793103447</v>
      </c>
      <c r="I85" s="87">
        <f t="shared" ref="I85:I96" si="9">H85/D85</f>
        <v>0.59326873161446603</v>
      </c>
    </row>
    <row r="86" spans="1:9" s="71" customFormat="1" ht="37" hidden="1" customHeight="1" x14ac:dyDescent="0.2">
      <c r="A86" s="76">
        <v>2442</v>
      </c>
      <c r="B86" s="73" t="s">
        <v>732</v>
      </c>
      <c r="C86" s="74">
        <f>C85+15</f>
        <v>46.75</v>
      </c>
      <c r="D86" s="69">
        <f>D85+'Raw Cost'!F3</f>
        <v>23.427586206896553</v>
      </c>
      <c r="E86" s="69"/>
      <c r="F86" s="69"/>
      <c r="G86" s="69"/>
      <c r="H86" s="68">
        <f t="shared" si="8"/>
        <v>23.322413793103447</v>
      </c>
      <c r="I86" s="70">
        <f t="shared" si="9"/>
        <v>0.99551074477480117</v>
      </c>
    </row>
    <row r="87" spans="1:9" s="71" customFormat="1" ht="37" hidden="1" customHeight="1" x14ac:dyDescent="0.2">
      <c r="A87" s="76">
        <v>2432</v>
      </c>
      <c r="B87" s="73" t="s">
        <v>733</v>
      </c>
      <c r="C87" s="74">
        <f>C85+15</f>
        <v>46.75</v>
      </c>
      <c r="D87" s="69">
        <f>D85+'Raw Cost'!F1</f>
        <v>29.127586206896552</v>
      </c>
      <c r="E87" s="69"/>
      <c r="F87" s="69"/>
      <c r="G87" s="69"/>
      <c r="H87" s="68">
        <f t="shared" si="8"/>
        <v>17.622413793103448</v>
      </c>
      <c r="I87" s="70">
        <f t="shared" si="9"/>
        <v>0.60500769503965901</v>
      </c>
    </row>
    <row r="88" spans="1:9" ht="37" customHeight="1" x14ac:dyDescent="0.2">
      <c r="A88" s="83">
        <v>37</v>
      </c>
      <c r="B88" s="84" t="s">
        <v>734</v>
      </c>
      <c r="C88" s="85">
        <v>36.25</v>
      </c>
      <c r="D88" s="69">
        <f>'Master Item List'!M28</f>
        <v>25.247857142857143</v>
      </c>
      <c r="E88" s="69">
        <f>'Master Item List'!T28</f>
        <v>32.75</v>
      </c>
      <c r="F88" s="69">
        <f>'Master Item List'!U28</f>
        <v>34</v>
      </c>
      <c r="G88" s="69">
        <f>'Master Item List'!V28</f>
        <v>35.25</v>
      </c>
      <c r="H88" s="69">
        <f t="shared" si="8"/>
        <v>11.002142857142857</v>
      </c>
      <c r="I88" s="87">
        <f t="shared" si="9"/>
        <v>0.4357654114917815</v>
      </c>
    </row>
    <row r="89" spans="1:9" ht="37" customHeight="1" x14ac:dyDescent="0.2">
      <c r="A89" s="83">
        <v>418</v>
      </c>
      <c r="B89" s="84" t="s">
        <v>735</v>
      </c>
      <c r="C89" s="85">
        <v>34.25</v>
      </c>
      <c r="D89" s="69">
        <f>'Master Item List'!M34</f>
        <v>35.93</v>
      </c>
      <c r="E89" s="69">
        <f>'Master Item List'!T34</f>
        <v>46.75</v>
      </c>
      <c r="F89" s="69">
        <f>'Master Item List'!U34</f>
        <v>48.5</v>
      </c>
      <c r="G89" s="69">
        <f>'Master Item List'!V34</f>
        <v>50.25</v>
      </c>
      <c r="H89" s="69">
        <f t="shared" si="8"/>
        <v>-1.6799999999999997</v>
      </c>
      <c r="I89" s="87">
        <f t="shared" si="9"/>
        <v>-4.6757584191483431E-2</v>
      </c>
    </row>
    <row r="90" spans="1:9" ht="37" customHeight="1" x14ac:dyDescent="0.2">
      <c r="A90" s="86">
        <v>1406</v>
      </c>
      <c r="B90" s="84" t="s">
        <v>736</v>
      </c>
      <c r="C90" s="85">
        <v>29.75</v>
      </c>
      <c r="D90" s="69">
        <f>'Master Item List'!M212</f>
        <v>16.584375000000001</v>
      </c>
      <c r="E90" s="69" t="e">
        <f>'Combo Pricing'!L14</f>
        <v>#N/A</v>
      </c>
      <c r="F90" s="69" t="e">
        <f>'Combo Pricing'!M14</f>
        <v>#N/A</v>
      </c>
      <c r="G90" s="69" t="e">
        <f>'Combo Pricing'!N14</f>
        <v>#N/A</v>
      </c>
      <c r="H90" s="69">
        <f t="shared" si="8"/>
        <v>13.165624999999999</v>
      </c>
      <c r="I90" s="87">
        <f t="shared" si="9"/>
        <v>0.7938571697757677</v>
      </c>
    </row>
    <row r="91" spans="1:9" s="71" customFormat="1" ht="37" hidden="1" customHeight="1" x14ac:dyDescent="0.2">
      <c r="A91" s="76">
        <v>2423</v>
      </c>
      <c r="B91" s="73" t="s">
        <v>737</v>
      </c>
      <c r="C91" s="74">
        <f>C90+15</f>
        <v>44.75</v>
      </c>
      <c r="D91" s="69">
        <f>D90+'Raw Cost'!F1</f>
        <v>25.784375000000001</v>
      </c>
      <c r="E91" s="69"/>
      <c r="F91" s="69"/>
      <c r="G91" s="69"/>
      <c r="H91" s="68">
        <f t="shared" si="8"/>
        <v>18.965624999999999</v>
      </c>
      <c r="I91" s="70">
        <f t="shared" si="9"/>
        <v>0.73554720639922433</v>
      </c>
    </row>
    <row r="92" spans="1:9" s="71" customFormat="1" ht="37" hidden="1" customHeight="1" x14ac:dyDescent="0.2">
      <c r="A92" s="72">
        <v>393</v>
      </c>
      <c r="B92" s="73" t="s">
        <v>738</v>
      </c>
      <c r="C92" s="74">
        <f>C90+15</f>
        <v>44.75</v>
      </c>
      <c r="D92" s="69">
        <f>D90+'Raw Cost'!F3</f>
        <v>20.084375000000001</v>
      </c>
      <c r="E92" s="69"/>
      <c r="F92" s="69"/>
      <c r="G92" s="69"/>
      <c r="H92" s="68">
        <f t="shared" si="8"/>
        <v>24.665624999999999</v>
      </c>
      <c r="I92" s="70">
        <f t="shared" si="9"/>
        <v>1.2281002022716663</v>
      </c>
    </row>
    <row r="93" spans="1:9" ht="37" customHeight="1" x14ac:dyDescent="0.2">
      <c r="A93" s="86">
        <v>2047</v>
      </c>
      <c r="B93" s="84" t="s">
        <v>739</v>
      </c>
      <c r="C93" s="85">
        <v>29.75</v>
      </c>
      <c r="D93" s="69">
        <f>'Master Item List'!M214</f>
        <v>19.544444444444444</v>
      </c>
      <c r="E93" s="69" t="e">
        <f>'Combo Pricing'!L15</f>
        <v>#N/A</v>
      </c>
      <c r="F93" s="69" t="e">
        <f>'Combo Pricing'!M15</f>
        <v>#N/A</v>
      </c>
      <c r="G93" s="69" t="e">
        <f>'Combo Pricing'!N15</f>
        <v>#N/A</v>
      </c>
      <c r="H93" s="69">
        <f t="shared" si="8"/>
        <v>10.205555555555556</v>
      </c>
      <c r="I93" s="87">
        <f t="shared" si="9"/>
        <v>0.52217168845935191</v>
      </c>
    </row>
    <row r="94" spans="1:9" s="71" customFormat="1" ht="37" hidden="1" customHeight="1" x14ac:dyDescent="0.2">
      <c r="A94" s="76">
        <v>2424</v>
      </c>
      <c r="B94" s="73" t="s">
        <v>740</v>
      </c>
      <c r="C94" s="74">
        <f>C93+15</f>
        <v>44.75</v>
      </c>
      <c r="D94" s="69">
        <f>D93+'Raw Cost'!F1</f>
        <v>28.744444444444444</v>
      </c>
      <c r="E94" s="69"/>
      <c r="F94" s="69"/>
      <c r="G94" s="69"/>
      <c r="H94" s="68">
        <f t="shared" si="8"/>
        <v>16.005555555555556</v>
      </c>
      <c r="I94" s="70">
        <f t="shared" si="9"/>
        <v>0.55682257441051419</v>
      </c>
    </row>
    <row r="95" spans="1:9" s="71" customFormat="1" ht="37" hidden="1" customHeight="1" x14ac:dyDescent="0.2">
      <c r="A95" s="76">
        <v>3273</v>
      </c>
      <c r="B95" s="73" t="s">
        <v>741</v>
      </c>
      <c r="C95" s="74">
        <f>C93+15</f>
        <v>44.75</v>
      </c>
      <c r="D95" s="69">
        <f>D93+'Raw Cost'!F3</f>
        <v>23.044444444444444</v>
      </c>
      <c r="E95" s="69"/>
      <c r="F95" s="69"/>
      <c r="G95" s="69"/>
      <c r="H95" s="68">
        <f t="shared" si="8"/>
        <v>21.705555555555556</v>
      </c>
      <c r="I95" s="70">
        <f t="shared" si="9"/>
        <v>0.94189971070395373</v>
      </c>
    </row>
    <row r="96" spans="1:9" ht="37" customHeight="1" x14ac:dyDescent="0.2">
      <c r="A96" s="86">
        <v>3277</v>
      </c>
      <c r="B96" s="84" t="s">
        <v>742</v>
      </c>
      <c r="C96" s="85">
        <v>32.25</v>
      </c>
      <c r="D96" s="69">
        <f>'Master Item List'!M216</f>
        <v>18.403571428571428</v>
      </c>
      <c r="E96" s="69" t="e">
        <f>'Combo Pricing'!L16</f>
        <v>#N/A</v>
      </c>
      <c r="F96" s="69" t="e">
        <f>'Combo Pricing'!M16</f>
        <v>#N/A</v>
      </c>
      <c r="G96" s="69" t="e">
        <f>'Combo Pricing'!N16</f>
        <v>#N/A</v>
      </c>
      <c r="H96" s="69">
        <f t="shared" si="8"/>
        <v>13.846428571428572</v>
      </c>
      <c r="I96" s="87">
        <f t="shared" si="9"/>
        <v>0.75237725596739768</v>
      </c>
    </row>
    <row r="97" spans="1:9" s="71" customFormat="1" ht="37" hidden="1" customHeight="1" x14ac:dyDescent="0.2">
      <c r="A97" s="76">
        <v>3294</v>
      </c>
      <c r="B97" s="73" t="s">
        <v>743</v>
      </c>
      <c r="C97" s="74">
        <f>C105+'Raw Cost'!F3</f>
        <v>40.75</v>
      </c>
      <c r="D97" s="69">
        <f>D105+'Raw Cost'!F3</f>
        <v>27.83651960784314</v>
      </c>
      <c r="E97" s="69"/>
      <c r="F97" s="69"/>
      <c r="G97" s="69"/>
      <c r="H97" s="68">
        <f t="shared" ref="H97:H107" si="10">C97-D97</f>
        <v>12.91348039215686</v>
      </c>
      <c r="I97" s="70">
        <f t="shared" ref="I97:I107" si="11">H97/D97</f>
        <v>0.46390427302263726</v>
      </c>
    </row>
    <row r="98" spans="1:9" ht="37" customHeight="1" x14ac:dyDescent="0.2">
      <c r="A98" s="86">
        <v>2037</v>
      </c>
      <c r="B98" s="84" t="s">
        <v>744</v>
      </c>
      <c r="C98" s="85">
        <v>37.25</v>
      </c>
      <c r="D98" s="69">
        <f>'Master Item List'!M227</f>
        <v>24.162500000000001</v>
      </c>
      <c r="E98" s="69">
        <f>'Master Item List'!T227</f>
        <v>47.5</v>
      </c>
      <c r="F98" s="69">
        <f>'Master Item List'!U227</f>
        <v>48.5</v>
      </c>
      <c r="G98" s="69">
        <f>'Master Item List'!V227</f>
        <v>49.75</v>
      </c>
      <c r="H98" s="69">
        <f t="shared" si="10"/>
        <v>13.087499999999999</v>
      </c>
      <c r="I98" s="87">
        <f t="shared" si="11"/>
        <v>0.54164511122607339</v>
      </c>
    </row>
    <row r="99" spans="1:9" ht="37" customHeight="1" x14ac:dyDescent="0.2">
      <c r="A99" s="84">
        <v>4754</v>
      </c>
      <c r="B99" s="84" t="s">
        <v>1046</v>
      </c>
      <c r="C99" s="85">
        <v>57.5</v>
      </c>
      <c r="D99" s="69">
        <f>'Master Item List'!M233</f>
        <v>20.209788359788359</v>
      </c>
      <c r="E99" s="69" cm="1">
        <f t="array" ref="E99:G99">'Master Item List'!T233:V233</f>
        <v>26.25</v>
      </c>
      <c r="F99" s="69">
        <v>27.25</v>
      </c>
      <c r="G99" s="69">
        <v>28.25</v>
      </c>
      <c r="H99" s="69">
        <f t="shared" si="10"/>
        <v>37.290211640211638</v>
      </c>
      <c r="I99" s="87">
        <f t="shared" si="11"/>
        <v>1.8451559697878077</v>
      </c>
    </row>
    <row r="100" spans="1:9" ht="37" customHeight="1" x14ac:dyDescent="0.2">
      <c r="A100" s="83">
        <v>53</v>
      </c>
      <c r="B100" s="84" t="s">
        <v>745</v>
      </c>
      <c r="C100" s="85">
        <v>46.75</v>
      </c>
      <c r="D100" s="69">
        <f>'Master Item List'!M35</f>
        <v>140.02500000000001</v>
      </c>
      <c r="E100" s="69">
        <f>'Master Item List'!T35</f>
        <v>182</v>
      </c>
      <c r="F100" s="69">
        <f>'Master Item List'!U35</f>
        <v>189</v>
      </c>
      <c r="G100" s="69">
        <f>'Master Item List'!V35</f>
        <v>196</v>
      </c>
      <c r="H100" s="69">
        <f t="shared" si="10"/>
        <v>-93.275000000000006</v>
      </c>
      <c r="I100" s="87">
        <f t="shared" si="11"/>
        <v>-0.66613104802713807</v>
      </c>
    </row>
    <row r="101" spans="1:9" s="71" customFormat="1" ht="37" hidden="1" customHeight="1" x14ac:dyDescent="0.2">
      <c r="A101" s="76">
        <v>2411</v>
      </c>
      <c r="B101" s="73" t="s">
        <v>746</v>
      </c>
      <c r="C101" s="74">
        <f>C98+15</f>
        <v>52.25</v>
      </c>
      <c r="D101" s="69">
        <f>D98+'Raw Cost'!F1</f>
        <v>33.362499999999997</v>
      </c>
      <c r="E101" s="69"/>
      <c r="F101" s="69"/>
      <c r="G101" s="69"/>
      <c r="H101" s="68">
        <f t="shared" si="10"/>
        <v>18.887500000000003</v>
      </c>
      <c r="I101" s="70">
        <f t="shared" si="11"/>
        <v>0.56612963656800308</v>
      </c>
    </row>
    <row r="102" spans="1:9" s="71" customFormat="1" ht="37" hidden="1" customHeight="1" x14ac:dyDescent="0.2">
      <c r="A102" s="76">
        <v>3290</v>
      </c>
      <c r="B102" s="73" t="s">
        <v>747</v>
      </c>
      <c r="C102" s="74">
        <f>C98+15</f>
        <v>52.25</v>
      </c>
      <c r="D102" s="69">
        <f>D98+'Raw Cost'!F3</f>
        <v>27.662500000000001</v>
      </c>
      <c r="E102" s="69"/>
      <c r="F102" s="69"/>
      <c r="G102" s="69"/>
      <c r="H102" s="68">
        <f t="shared" si="10"/>
        <v>24.587499999999999</v>
      </c>
      <c r="I102" s="70">
        <f t="shared" si="11"/>
        <v>0.88883868052417525</v>
      </c>
    </row>
    <row r="103" spans="1:9" s="71" customFormat="1" ht="37" hidden="1" customHeight="1" x14ac:dyDescent="0.2">
      <c r="A103" s="76">
        <v>3178</v>
      </c>
      <c r="B103" s="73" t="s">
        <v>748</v>
      </c>
      <c r="C103" s="74">
        <f>C104+15</f>
        <v>71.5</v>
      </c>
      <c r="D103" s="69">
        <f>D104+'Raw Cost'!F1</f>
        <v>33.786607142857143</v>
      </c>
      <c r="E103" s="69"/>
      <c r="F103" s="69"/>
      <c r="G103" s="69"/>
      <c r="H103" s="68">
        <f t="shared" si="10"/>
        <v>37.713392857142857</v>
      </c>
      <c r="I103" s="70">
        <f t="shared" si="11"/>
        <v>1.1162231442086625</v>
      </c>
    </row>
    <row r="104" spans="1:9" ht="37" customHeight="1" x14ac:dyDescent="0.2">
      <c r="A104" s="86">
        <v>3157</v>
      </c>
      <c r="B104" s="84" t="s">
        <v>749</v>
      </c>
      <c r="C104" s="85">
        <v>56.5</v>
      </c>
      <c r="D104" s="69">
        <f>'Combo Pricing'!F42</f>
        <v>24.586607142857144</v>
      </c>
      <c r="E104" s="69">
        <f>'Combo Pricing'!L42</f>
        <v>33</v>
      </c>
      <c r="F104" s="69">
        <f>'Combo Pricing'!M42</f>
        <v>34.25</v>
      </c>
      <c r="G104" s="69">
        <f>'Combo Pricing'!N42</f>
        <v>35.5</v>
      </c>
      <c r="H104" s="69">
        <f t="shared" si="10"/>
        <v>31.913392857142856</v>
      </c>
      <c r="I104" s="87">
        <f t="shared" si="11"/>
        <v>1.2979990558158114</v>
      </c>
    </row>
    <row r="105" spans="1:9" ht="37" customHeight="1" x14ac:dyDescent="0.2">
      <c r="A105" s="86">
        <v>3291</v>
      </c>
      <c r="B105" s="84" t="s">
        <v>750</v>
      </c>
      <c r="C105" s="85">
        <v>37.25</v>
      </c>
      <c r="D105" s="69">
        <f>'Combo Pricing'!F19</f>
        <v>24.33651960784314</v>
      </c>
      <c r="E105" s="69">
        <f>'Combo Pricing'!L19</f>
        <v>34</v>
      </c>
      <c r="F105" s="69">
        <f>'Combo Pricing'!M19</f>
        <v>35</v>
      </c>
      <c r="G105" s="69">
        <f>'Combo Pricing'!N19</f>
        <v>36.25</v>
      </c>
      <c r="H105" s="69">
        <f t="shared" si="10"/>
        <v>12.91348039215686</v>
      </c>
      <c r="I105" s="87">
        <f t="shared" si="11"/>
        <v>0.5306214939623134</v>
      </c>
    </row>
    <row r="106" spans="1:9" s="71" customFormat="1" ht="37" hidden="1" customHeight="1" x14ac:dyDescent="0.2">
      <c r="A106" s="76">
        <v>3292</v>
      </c>
      <c r="B106" s="73" t="s">
        <v>751</v>
      </c>
      <c r="C106" s="74">
        <f>C105+15</f>
        <v>52.25</v>
      </c>
      <c r="D106" s="69">
        <f>D105+'Raw Cost'!F1</f>
        <v>33.53651960784314</v>
      </c>
      <c r="E106" s="69"/>
      <c r="F106" s="69"/>
      <c r="G106" s="69"/>
      <c r="H106" s="68">
        <f t="shared" si="10"/>
        <v>18.71348039215686</v>
      </c>
      <c r="I106" s="70">
        <f t="shared" si="11"/>
        <v>0.55800305490795066</v>
      </c>
    </row>
    <row r="107" spans="1:9" s="71" customFormat="1" ht="22" hidden="1" customHeight="1" x14ac:dyDescent="0.2">
      <c r="A107" s="76">
        <v>3293</v>
      </c>
      <c r="B107" s="73" t="s">
        <v>752</v>
      </c>
      <c r="C107" s="74">
        <f>C104+15</f>
        <v>71.5</v>
      </c>
      <c r="D107" s="69">
        <f>D104+'Raw Cost'!F3</f>
        <v>28.086607142857144</v>
      </c>
      <c r="E107" s="69"/>
      <c r="F107" s="69"/>
      <c r="G107" s="69"/>
      <c r="H107" s="68">
        <f t="shared" si="10"/>
        <v>43.413392857142853</v>
      </c>
      <c r="I107" s="70">
        <f t="shared" si="11"/>
        <v>1.5456973010776613</v>
      </c>
    </row>
    <row r="108" spans="1:9" ht="37" customHeight="1" x14ac:dyDescent="0.2">
      <c r="A108" s="86">
        <v>2164</v>
      </c>
      <c r="B108" s="84" t="s">
        <v>753</v>
      </c>
      <c r="C108" s="85">
        <v>28.25</v>
      </c>
      <c r="D108" s="69">
        <f>'Master Item List'!M238</f>
        <v>21.578769841269843</v>
      </c>
      <c r="E108" s="69" cm="1">
        <f t="array" ref="E108:G108">'Master Item List'!T238:V238</f>
        <v>44</v>
      </c>
      <c r="F108" s="69">
        <v>45.25</v>
      </c>
      <c r="G108" s="69">
        <v>46.25</v>
      </c>
      <c r="H108" s="69">
        <f t="shared" ref="H108:H137" si="12">C108-D108</f>
        <v>6.6712301587301575</v>
      </c>
      <c r="I108" s="87">
        <f t="shared" ref="I108:I137" si="13">H108/D108</f>
        <v>0.30915711172614169</v>
      </c>
    </row>
    <row r="109" spans="1:9" ht="30" customHeight="1" x14ac:dyDescent="0.2">
      <c r="A109" s="83">
        <v>731</v>
      </c>
      <c r="B109" s="84" t="s">
        <v>754</v>
      </c>
      <c r="C109" s="85">
        <v>35</v>
      </c>
      <c r="D109" s="69">
        <f>'Master Item List'!M41</f>
        <v>53.865000000000002</v>
      </c>
      <c r="E109" s="69" cm="1">
        <f t="array" ref="E109:G109">'Master Item List'!T41:V41</f>
        <v>70</v>
      </c>
      <c r="F109" s="69">
        <v>72.75</v>
      </c>
      <c r="G109" s="69">
        <v>75.5</v>
      </c>
      <c r="H109" s="69">
        <f t="shared" si="12"/>
        <v>-18.865000000000002</v>
      </c>
      <c r="I109" s="87">
        <f t="shared" si="13"/>
        <v>-0.35022742040285904</v>
      </c>
    </row>
    <row r="110" spans="1:9" s="71" customFormat="1" ht="33" hidden="1" customHeight="1" x14ac:dyDescent="0.2">
      <c r="A110" s="76">
        <v>2412</v>
      </c>
      <c r="B110" s="73" t="s">
        <v>755</v>
      </c>
      <c r="C110" s="74">
        <f>C108+15</f>
        <v>43.25</v>
      </c>
      <c r="D110" s="69">
        <f>D108+'Raw Cost'!F1</f>
        <v>30.778769841269842</v>
      </c>
      <c r="E110" s="69"/>
      <c r="F110" s="69"/>
      <c r="G110" s="69"/>
      <c r="H110" s="68">
        <f t="shared" si="12"/>
        <v>12.471230158730158</v>
      </c>
      <c r="I110" s="70">
        <f t="shared" si="13"/>
        <v>0.4051893634165995</v>
      </c>
    </row>
    <row r="111" spans="1:9" s="71" customFormat="1" ht="48" hidden="1" customHeight="1" x14ac:dyDescent="0.2">
      <c r="A111" s="76">
        <v>3295</v>
      </c>
      <c r="B111" s="73" t="s">
        <v>756</v>
      </c>
      <c r="C111" s="74">
        <f>C108+15</f>
        <v>43.25</v>
      </c>
      <c r="D111" s="69">
        <f>D108+'Raw Cost'!F3</f>
        <v>25.078769841269843</v>
      </c>
      <c r="E111" s="69"/>
      <c r="F111" s="69"/>
      <c r="G111" s="69"/>
      <c r="H111" s="68">
        <f t="shared" si="12"/>
        <v>18.171230158730157</v>
      </c>
      <c r="I111" s="70">
        <f t="shared" si="13"/>
        <v>0.72456624761663635</v>
      </c>
    </row>
    <row r="112" spans="1:9" ht="30" customHeight="1" x14ac:dyDescent="0.2">
      <c r="A112" s="86">
        <v>3222</v>
      </c>
      <c r="B112" s="84" t="s">
        <v>757</v>
      </c>
      <c r="C112" s="85">
        <v>27.25</v>
      </c>
      <c r="D112" s="69">
        <f>'Master Item List'!M40</f>
        <v>17.149999999999999</v>
      </c>
      <c r="E112" s="69" cm="1">
        <f t="array" ref="E112:G112">'Master Item List'!T40:V40</f>
        <v>22.25</v>
      </c>
      <c r="F112" s="69">
        <v>23.25</v>
      </c>
      <c r="G112" s="69">
        <v>24</v>
      </c>
      <c r="H112" s="69">
        <f t="shared" si="12"/>
        <v>10.100000000000001</v>
      </c>
      <c r="I112" s="87">
        <f t="shared" si="13"/>
        <v>0.58892128279883393</v>
      </c>
    </row>
    <row r="113" spans="1:9" ht="37" customHeight="1" x14ac:dyDescent="0.2">
      <c r="A113" s="83">
        <v>39</v>
      </c>
      <c r="B113" s="84" t="s">
        <v>758</v>
      </c>
      <c r="C113" s="85">
        <v>39.5</v>
      </c>
      <c r="D113" s="69">
        <f>'Master Item List'!M37</f>
        <v>17.149999999999999</v>
      </c>
      <c r="E113" s="69" cm="1">
        <f t="array" ref="E113:G113">'Master Item List'!T37:V37</f>
        <v>22.25</v>
      </c>
      <c r="F113" s="69">
        <v>23.25</v>
      </c>
      <c r="G113" s="69">
        <v>24</v>
      </c>
      <c r="H113" s="69">
        <f t="shared" si="12"/>
        <v>22.35</v>
      </c>
      <c r="I113" s="87">
        <f t="shared" si="13"/>
        <v>1.3032069970845483</v>
      </c>
    </row>
    <row r="114" spans="1:9" s="71" customFormat="1" ht="37" hidden="1" customHeight="1" x14ac:dyDescent="0.2">
      <c r="A114" s="76">
        <v>3300</v>
      </c>
      <c r="B114" s="73" t="s">
        <v>759</v>
      </c>
      <c r="C114" s="74">
        <f>C116+15</f>
        <v>46.25</v>
      </c>
      <c r="D114" s="69">
        <f>D116+'Raw Cost'!F1</f>
        <v>28.972040441176471</v>
      </c>
      <c r="E114" s="69"/>
      <c r="F114" s="69"/>
      <c r="G114" s="69"/>
      <c r="H114" s="68">
        <f t="shared" si="12"/>
        <v>17.277959558823529</v>
      </c>
      <c r="I114" s="70">
        <f t="shared" si="13"/>
        <v>0.59636667958903067</v>
      </c>
    </row>
    <row r="115" spans="1:9" s="71" customFormat="1" ht="30" hidden="1" customHeight="1" x14ac:dyDescent="0.2">
      <c r="A115" s="76">
        <v>3301</v>
      </c>
      <c r="B115" s="73" t="s">
        <v>760</v>
      </c>
      <c r="C115" s="74">
        <f>C116+15</f>
        <v>46.25</v>
      </c>
      <c r="D115" s="69">
        <f>D116+'Raw Cost'!F3</f>
        <v>23.272040441176472</v>
      </c>
      <c r="E115" s="69"/>
      <c r="F115" s="69"/>
      <c r="G115" s="69"/>
      <c r="H115" s="68">
        <f t="shared" si="12"/>
        <v>22.977959558823528</v>
      </c>
      <c r="I115" s="70">
        <f t="shared" si="13"/>
        <v>0.98736333914955687</v>
      </c>
    </row>
    <row r="116" spans="1:9" ht="37" customHeight="1" x14ac:dyDescent="0.2">
      <c r="A116" s="86">
        <v>3299</v>
      </c>
      <c r="B116" s="84" t="s">
        <v>761</v>
      </c>
      <c r="C116" s="85">
        <v>31.25</v>
      </c>
      <c r="D116" s="69">
        <f>'Combo Pricing'!F20</f>
        <v>19.772040441176472</v>
      </c>
      <c r="E116" s="69" cm="1">
        <f t="array" ref="E116:G116">'Combo Pricing'!L20:N20</f>
        <v>28</v>
      </c>
      <c r="F116" s="69">
        <v>29</v>
      </c>
      <c r="G116" s="69">
        <v>30</v>
      </c>
      <c r="H116" s="69">
        <f t="shared" si="12"/>
        <v>11.477959558823528</v>
      </c>
      <c r="I116" s="87">
        <f t="shared" si="13"/>
        <v>0.58051467135986545</v>
      </c>
    </row>
    <row r="117" spans="1:9" ht="37" customHeight="1" x14ac:dyDescent="0.2">
      <c r="A117" s="83">
        <v>497</v>
      </c>
      <c r="B117" s="84" t="s">
        <v>762</v>
      </c>
      <c r="C117" s="85">
        <v>25</v>
      </c>
      <c r="D117" s="69">
        <f>'Master Item List'!M42</f>
        <v>15.161666666666667</v>
      </c>
      <c r="E117" s="69" cm="1">
        <f t="array" ref="E117:G117">'Master Item List'!T42:V42</f>
        <v>19.75</v>
      </c>
      <c r="F117" s="69">
        <v>20.5</v>
      </c>
      <c r="G117" s="69">
        <v>21.25</v>
      </c>
      <c r="H117" s="69">
        <f t="shared" si="12"/>
        <v>9.8383333333333329</v>
      </c>
      <c r="I117" s="87">
        <f t="shared" si="13"/>
        <v>0.6488952401890733</v>
      </c>
    </row>
    <row r="118" spans="1:9" ht="37" customHeight="1" x14ac:dyDescent="0.2">
      <c r="A118" s="86">
        <v>2841</v>
      </c>
      <c r="B118" s="84" t="s">
        <v>763</v>
      </c>
      <c r="C118" s="85">
        <v>48.5</v>
      </c>
      <c r="D118" s="69">
        <f>'Master Item List'!M45</f>
        <v>37.108333333333327</v>
      </c>
      <c r="E118" s="69" cm="1">
        <f t="array" ref="E118:G118">'Master Item List'!T45:V45</f>
        <v>48.25</v>
      </c>
      <c r="F118" s="69">
        <v>50</v>
      </c>
      <c r="G118" s="69">
        <v>52</v>
      </c>
      <c r="H118" s="69">
        <f t="shared" si="12"/>
        <v>11.391666666666673</v>
      </c>
      <c r="I118" s="87">
        <f t="shared" si="13"/>
        <v>0.30698405569279158</v>
      </c>
    </row>
    <row r="119" spans="1:9" ht="37" customHeight="1" x14ac:dyDescent="0.2">
      <c r="A119" s="83">
        <v>330</v>
      </c>
      <c r="B119" s="84" t="s">
        <v>764</v>
      </c>
      <c r="C119" s="85">
        <v>18.5</v>
      </c>
      <c r="D119" s="69">
        <f>'Master Item List'!M43</f>
        <v>17.819285714285712</v>
      </c>
      <c r="E119" s="69" cm="1">
        <f t="array" ref="E119:G119">'Master Item List'!T43:V43</f>
        <v>23.25</v>
      </c>
      <c r="F119" s="69">
        <v>24</v>
      </c>
      <c r="G119" s="69">
        <v>25</v>
      </c>
      <c r="H119" s="69">
        <f t="shared" si="12"/>
        <v>0.68071428571428783</v>
      </c>
      <c r="I119" s="87">
        <f t="shared" si="13"/>
        <v>3.8200986090512007E-2</v>
      </c>
    </row>
    <row r="120" spans="1:9" ht="37" customHeight="1" x14ac:dyDescent="0.2">
      <c r="A120" s="86">
        <v>2080</v>
      </c>
      <c r="B120" s="84" t="s">
        <v>765</v>
      </c>
      <c r="C120" s="85">
        <v>18.5</v>
      </c>
      <c r="D120" s="69">
        <f>'Master Item List'!M43</f>
        <v>17.819285714285712</v>
      </c>
      <c r="E120" s="69" cm="1">
        <f t="array" ref="E120:G120">'Master Item List'!T43:V43</f>
        <v>23.25</v>
      </c>
      <c r="F120" s="69">
        <v>24</v>
      </c>
      <c r="G120" s="69">
        <v>25</v>
      </c>
      <c r="H120" s="69">
        <f t="shared" si="12"/>
        <v>0.68071428571428783</v>
      </c>
      <c r="I120" s="87">
        <f t="shared" si="13"/>
        <v>3.8200986090512007E-2</v>
      </c>
    </row>
    <row r="121" spans="1:9" ht="37" customHeight="1" x14ac:dyDescent="0.2">
      <c r="A121" s="86">
        <v>1295</v>
      </c>
      <c r="B121" s="84" t="s">
        <v>766</v>
      </c>
      <c r="C121" s="85">
        <v>17.25</v>
      </c>
      <c r="D121" s="69">
        <f>'Master Item List'!M20</f>
        <v>17.819285714285712</v>
      </c>
      <c r="E121" s="69" cm="1">
        <f t="array" ref="E121:G121">'Master Item List'!T20:V20</f>
        <v>23.25</v>
      </c>
      <c r="F121" s="69">
        <v>24</v>
      </c>
      <c r="G121" s="69">
        <v>25</v>
      </c>
      <c r="H121" s="69">
        <f t="shared" si="12"/>
        <v>-0.56928571428571217</v>
      </c>
      <c r="I121" s="87">
        <f t="shared" si="13"/>
        <v>-3.1947729185873935E-2</v>
      </c>
    </row>
    <row r="122" spans="1:9" ht="37" customHeight="1" x14ac:dyDescent="0.2">
      <c r="A122" s="86">
        <v>2890</v>
      </c>
      <c r="B122" s="84" t="s">
        <v>767</v>
      </c>
      <c r="C122" s="85">
        <v>18.5</v>
      </c>
      <c r="D122" s="69">
        <f>'Master Item List'!M43</f>
        <v>17.819285714285712</v>
      </c>
      <c r="E122" s="69" cm="1">
        <f t="array" ref="E122:G122">'Master Item List'!T43:V43</f>
        <v>23.25</v>
      </c>
      <c r="F122" s="69">
        <v>24</v>
      </c>
      <c r="G122" s="69">
        <v>25</v>
      </c>
      <c r="H122" s="69">
        <f t="shared" si="12"/>
        <v>0.68071428571428783</v>
      </c>
      <c r="I122" s="87">
        <f t="shared" si="13"/>
        <v>3.8200986090512007E-2</v>
      </c>
    </row>
    <row r="123" spans="1:9" ht="37" customHeight="1" x14ac:dyDescent="0.2">
      <c r="A123" s="83">
        <v>61</v>
      </c>
      <c r="B123" s="84" t="s">
        <v>768</v>
      </c>
      <c r="C123" s="85">
        <v>18.5</v>
      </c>
      <c r="D123" s="69">
        <f>'Master Item List'!M46</f>
        <v>17.819285714285712</v>
      </c>
      <c r="E123" s="69" cm="1">
        <f t="array" ref="E123:G123">'Master Item List'!T46:V46</f>
        <v>23.25</v>
      </c>
      <c r="F123" s="69">
        <v>24</v>
      </c>
      <c r="G123" s="69">
        <v>25</v>
      </c>
      <c r="H123" s="69">
        <f t="shared" si="12"/>
        <v>0.68071428571428783</v>
      </c>
      <c r="I123" s="87">
        <f t="shared" si="13"/>
        <v>3.8200986090512007E-2</v>
      </c>
    </row>
    <row r="124" spans="1:9" ht="37" customHeight="1" x14ac:dyDescent="0.2">
      <c r="A124" s="86">
        <v>1075</v>
      </c>
      <c r="B124" s="84" t="s">
        <v>769</v>
      </c>
      <c r="C124" s="85">
        <v>18.5</v>
      </c>
      <c r="D124" s="69">
        <f>'Master Item List'!M46</f>
        <v>17.819285714285712</v>
      </c>
      <c r="E124" s="69" cm="1">
        <f t="array" ref="E124:G124">'Master Item List'!T46:V46</f>
        <v>23.25</v>
      </c>
      <c r="F124" s="69">
        <v>24</v>
      </c>
      <c r="G124" s="69">
        <v>25</v>
      </c>
      <c r="H124" s="69">
        <f t="shared" si="12"/>
        <v>0.68071428571428783</v>
      </c>
      <c r="I124" s="87">
        <f t="shared" si="13"/>
        <v>3.8200986090512007E-2</v>
      </c>
    </row>
    <row r="125" spans="1:9" ht="37" customHeight="1" x14ac:dyDescent="0.2">
      <c r="A125" s="83">
        <v>492</v>
      </c>
      <c r="B125" s="84" t="s">
        <v>770</v>
      </c>
      <c r="C125" s="85">
        <v>29</v>
      </c>
      <c r="D125" s="69">
        <f>'Master Item List'!M47</f>
        <v>19.824999999999999</v>
      </c>
      <c r="E125" s="69" cm="1">
        <f t="array" ref="E125:G125">'Master Item List'!T47:V47</f>
        <v>25.75</v>
      </c>
      <c r="F125" s="69">
        <v>26.75</v>
      </c>
      <c r="G125" s="69">
        <v>27.75</v>
      </c>
      <c r="H125" s="69">
        <f t="shared" si="12"/>
        <v>9.1750000000000007</v>
      </c>
      <c r="I125" s="87">
        <f t="shared" si="13"/>
        <v>0.46279949558638089</v>
      </c>
    </row>
    <row r="126" spans="1:9" ht="37" customHeight="1" x14ac:dyDescent="0.2">
      <c r="A126" s="86">
        <v>2077</v>
      </c>
      <c r="B126" s="84" t="s">
        <v>771</v>
      </c>
      <c r="C126" s="85">
        <v>29</v>
      </c>
      <c r="D126" s="69">
        <f>'Master Item List'!M47</f>
        <v>19.824999999999999</v>
      </c>
      <c r="E126" s="69" cm="1">
        <f t="array" ref="E126:G126">'Master Item List'!T47:V47</f>
        <v>25.75</v>
      </c>
      <c r="F126" s="69">
        <v>26.75</v>
      </c>
      <c r="G126" s="69">
        <v>27.75</v>
      </c>
      <c r="H126" s="69">
        <f t="shared" si="12"/>
        <v>9.1750000000000007</v>
      </c>
      <c r="I126" s="87">
        <f t="shared" si="13"/>
        <v>0.46279949558638089</v>
      </c>
    </row>
    <row r="127" spans="1:9" ht="37" customHeight="1" x14ac:dyDescent="0.2">
      <c r="A127" s="86">
        <v>2392</v>
      </c>
      <c r="B127" s="84" t="s">
        <v>772</v>
      </c>
      <c r="C127" s="85">
        <v>80.5</v>
      </c>
      <c r="D127" s="69">
        <f>'Master Item List'!M49</f>
        <v>71.28</v>
      </c>
      <c r="E127" s="69" cm="1">
        <f t="array" ref="E127:G127">'Master Item List'!T49:V49</f>
        <v>92.75</v>
      </c>
      <c r="F127" s="69">
        <v>96.25</v>
      </c>
      <c r="G127" s="69">
        <v>99.75</v>
      </c>
      <c r="H127" s="69">
        <f t="shared" si="12"/>
        <v>9.2199999999999989</v>
      </c>
      <c r="I127" s="87">
        <f t="shared" si="13"/>
        <v>0.12934904601571268</v>
      </c>
    </row>
    <row r="128" spans="1:9" ht="37" customHeight="1" x14ac:dyDescent="0.2">
      <c r="A128" s="83">
        <v>615</v>
      </c>
      <c r="B128" s="84" t="s">
        <v>773</v>
      </c>
      <c r="C128" s="85">
        <v>80.5</v>
      </c>
      <c r="D128" s="69">
        <f>'Master Item List'!M49</f>
        <v>71.28</v>
      </c>
      <c r="E128" s="69" cm="1">
        <f t="array" ref="E128:G128">'Master Item List'!T49:V49</f>
        <v>92.75</v>
      </c>
      <c r="F128" s="69">
        <v>96.25</v>
      </c>
      <c r="G128" s="69">
        <v>99.75</v>
      </c>
      <c r="H128" s="69">
        <f t="shared" si="12"/>
        <v>9.2199999999999989</v>
      </c>
      <c r="I128" s="87">
        <f t="shared" si="13"/>
        <v>0.12934904601571268</v>
      </c>
    </row>
    <row r="129" spans="1:9" ht="37" customHeight="1" x14ac:dyDescent="0.2">
      <c r="A129" s="86">
        <v>2394</v>
      </c>
      <c r="B129" s="84" t="s">
        <v>774</v>
      </c>
      <c r="C129" s="85">
        <v>80.5</v>
      </c>
      <c r="D129" s="69">
        <f t="shared" ref="D129:G130" si="14">D128</f>
        <v>71.28</v>
      </c>
      <c r="E129" s="69">
        <f t="shared" si="14"/>
        <v>92.75</v>
      </c>
      <c r="F129" s="69">
        <f t="shared" si="14"/>
        <v>96.25</v>
      </c>
      <c r="G129" s="69">
        <f t="shared" si="14"/>
        <v>99.75</v>
      </c>
      <c r="H129" s="69">
        <f t="shared" si="12"/>
        <v>9.2199999999999989</v>
      </c>
      <c r="I129" s="87">
        <f t="shared" si="13"/>
        <v>0.12934904601571268</v>
      </c>
    </row>
    <row r="130" spans="1:9" ht="37" customHeight="1" x14ac:dyDescent="0.2">
      <c r="A130" s="86">
        <v>2393</v>
      </c>
      <c r="B130" s="84" t="s">
        <v>775</v>
      </c>
      <c r="C130" s="85">
        <v>80.5</v>
      </c>
      <c r="D130" s="69">
        <f t="shared" si="14"/>
        <v>71.28</v>
      </c>
      <c r="E130" s="69">
        <f t="shared" si="14"/>
        <v>92.75</v>
      </c>
      <c r="F130" s="69">
        <f t="shared" si="14"/>
        <v>96.25</v>
      </c>
      <c r="G130" s="69">
        <f t="shared" si="14"/>
        <v>99.75</v>
      </c>
      <c r="H130" s="69">
        <f t="shared" si="12"/>
        <v>9.2199999999999989</v>
      </c>
      <c r="I130" s="87">
        <f t="shared" si="13"/>
        <v>0.12934904601571268</v>
      </c>
    </row>
    <row r="131" spans="1:9" ht="37" customHeight="1" x14ac:dyDescent="0.2">
      <c r="A131" s="86">
        <v>1244</v>
      </c>
      <c r="B131" s="84" t="s">
        <v>776</v>
      </c>
      <c r="C131" s="85">
        <v>29.25</v>
      </c>
      <c r="D131" s="69">
        <f>'Master Item List'!M243</f>
        <v>25.522222222222222</v>
      </c>
      <c r="E131" s="69" cm="1">
        <f t="array" ref="E131:G131">'Master Item List'!T243:V243</f>
        <v>49.25</v>
      </c>
      <c r="F131" s="69">
        <v>50.5</v>
      </c>
      <c r="G131" s="69">
        <v>51.75</v>
      </c>
      <c r="H131" s="69">
        <f t="shared" si="12"/>
        <v>3.7277777777777779</v>
      </c>
      <c r="I131" s="87">
        <f t="shared" si="13"/>
        <v>0.1460600783630823</v>
      </c>
    </row>
    <row r="132" spans="1:9" ht="37" customHeight="1" x14ac:dyDescent="0.2">
      <c r="A132" s="86">
        <v>4753</v>
      </c>
      <c r="B132" s="84" t="s">
        <v>777</v>
      </c>
      <c r="C132" s="85">
        <v>39.25</v>
      </c>
      <c r="D132" s="69">
        <f>'Master Item List'!M245</f>
        <v>20.412500000000001</v>
      </c>
      <c r="E132" s="69" cm="1">
        <f t="array" ref="E132:G132">'Master Item List'!T245:V245</f>
        <v>42.5</v>
      </c>
      <c r="F132" s="69">
        <v>43.5</v>
      </c>
      <c r="G132" s="69">
        <v>44.5</v>
      </c>
      <c r="H132" s="69">
        <f t="shared" si="12"/>
        <v>18.837499999999999</v>
      </c>
      <c r="I132" s="87">
        <f t="shared" si="13"/>
        <v>0.92284139620330663</v>
      </c>
    </row>
    <row r="133" spans="1:9" s="71" customFormat="1" ht="37" hidden="1" customHeight="1" x14ac:dyDescent="0.2">
      <c r="A133" s="76">
        <v>2413</v>
      </c>
      <c r="B133" s="73" t="s">
        <v>778</v>
      </c>
      <c r="C133" s="74">
        <f>C131+15</f>
        <v>44.25</v>
      </c>
      <c r="D133" s="69">
        <f>D131+'Raw Cost'!F1</f>
        <v>34.722222222222221</v>
      </c>
      <c r="E133" s="69"/>
      <c r="F133" s="69"/>
      <c r="G133" s="69"/>
      <c r="H133" s="68">
        <f t="shared" si="12"/>
        <v>9.5277777777777786</v>
      </c>
      <c r="I133" s="70">
        <f t="shared" si="13"/>
        <v>0.27440000000000003</v>
      </c>
    </row>
    <row r="134" spans="1:9" s="71" customFormat="1" ht="37" hidden="1" customHeight="1" x14ac:dyDescent="0.2">
      <c r="A134" s="76">
        <v>2406</v>
      </c>
      <c r="B134" s="73" t="s">
        <v>779</v>
      </c>
      <c r="C134" s="74">
        <f>C131+15</f>
        <v>44.25</v>
      </c>
      <c r="D134" s="69">
        <f>D131+'Raw Cost'!F3</f>
        <v>29.022222222222222</v>
      </c>
      <c r="E134" s="69"/>
      <c r="F134" s="69"/>
      <c r="G134" s="69"/>
      <c r="H134" s="68">
        <f t="shared" si="12"/>
        <v>15.227777777777778</v>
      </c>
      <c r="I134" s="70">
        <f t="shared" si="13"/>
        <v>0.5246937212863706</v>
      </c>
    </row>
    <row r="135" spans="1:9" ht="37" customHeight="1" x14ac:dyDescent="0.2">
      <c r="A135" s="83">
        <v>335</v>
      </c>
      <c r="B135" s="84" t="s">
        <v>780</v>
      </c>
      <c r="C135" s="85">
        <v>30.25</v>
      </c>
      <c r="D135" s="69">
        <f>'Master Item List'!M51</f>
        <v>20.774999999999999</v>
      </c>
      <c r="E135" s="69" cm="1">
        <f t="array" ref="E135:G135">'Master Item List'!T51:V51</f>
        <v>27</v>
      </c>
      <c r="F135" s="69">
        <v>28</v>
      </c>
      <c r="G135" s="69">
        <v>29</v>
      </c>
      <c r="H135" s="69">
        <f t="shared" si="12"/>
        <v>9.4750000000000014</v>
      </c>
      <c r="I135" s="87">
        <f t="shared" si="13"/>
        <v>0.45607701564380276</v>
      </c>
    </row>
    <row r="136" spans="1:9" ht="37" customHeight="1" x14ac:dyDescent="0.2">
      <c r="A136" s="86">
        <v>2949</v>
      </c>
      <c r="B136" s="84" t="s">
        <v>781</v>
      </c>
      <c r="C136" s="85">
        <v>30.25</v>
      </c>
      <c r="D136" s="69">
        <f>'Master Item List'!M52</f>
        <v>20.774999999999999</v>
      </c>
      <c r="E136" s="69" cm="1">
        <f t="array" ref="E136:G136">'Master Item List'!T52:V52</f>
        <v>27</v>
      </c>
      <c r="F136" s="69">
        <v>28</v>
      </c>
      <c r="G136" s="69">
        <v>29</v>
      </c>
      <c r="H136" s="69">
        <f t="shared" si="12"/>
        <v>9.4750000000000014</v>
      </c>
      <c r="I136" s="87">
        <f t="shared" si="13"/>
        <v>0.45607701564380276</v>
      </c>
    </row>
    <row r="137" spans="1:9" ht="37" customHeight="1" x14ac:dyDescent="0.2">
      <c r="A137" s="86">
        <v>2030</v>
      </c>
      <c r="B137" s="84" t="s">
        <v>782</v>
      </c>
      <c r="C137" s="85">
        <v>30.25</v>
      </c>
      <c r="D137" s="69">
        <f>'Master Item List'!M52</f>
        <v>20.774999999999999</v>
      </c>
      <c r="E137" s="69" cm="1">
        <f t="array" ref="E137:G137">'Master Item List'!T52:V52</f>
        <v>27</v>
      </c>
      <c r="F137" s="69">
        <v>28</v>
      </c>
      <c r="G137" s="69">
        <v>29</v>
      </c>
      <c r="H137" s="69">
        <f t="shared" si="12"/>
        <v>9.4750000000000014</v>
      </c>
      <c r="I137" s="87">
        <f t="shared" si="13"/>
        <v>0.45607701564380276</v>
      </c>
    </row>
    <row r="138" spans="1:9" s="71" customFormat="1" ht="37" hidden="1" customHeight="1" x14ac:dyDescent="0.2">
      <c r="A138" s="76">
        <v>3306</v>
      </c>
      <c r="B138" s="73" t="s">
        <v>783</v>
      </c>
      <c r="C138" s="74">
        <f>C139+15</f>
        <v>55.25</v>
      </c>
      <c r="D138" s="69">
        <f>D139+'Raw Cost'!F3</f>
        <v>18.66578947368421</v>
      </c>
      <c r="E138" s="69"/>
      <c r="F138" s="69"/>
      <c r="G138" s="69"/>
      <c r="H138" s="68">
        <f t="shared" ref="H138:H158" si="15">C138-D138</f>
        <v>36.584210526315786</v>
      </c>
      <c r="I138" s="70">
        <f t="shared" ref="I138:I158" si="16">H138/D138</f>
        <v>1.9599605244607359</v>
      </c>
    </row>
    <row r="139" spans="1:9" ht="37" customHeight="1" x14ac:dyDescent="0.2">
      <c r="A139" s="86">
        <v>3155</v>
      </c>
      <c r="B139" s="84" t="s">
        <v>784</v>
      </c>
      <c r="C139" s="85">
        <v>40.25</v>
      </c>
      <c r="D139" s="69">
        <f>'Master Item List'!M327</f>
        <v>15.16578947368421</v>
      </c>
      <c r="E139" s="69" cm="1">
        <f t="array" ref="E139:G139">'Master Item List'!T327:V327</f>
        <v>35.75</v>
      </c>
      <c r="F139" s="69">
        <v>36.5</v>
      </c>
      <c r="G139" s="69">
        <v>37.25</v>
      </c>
      <c r="H139" s="69">
        <f t="shared" si="15"/>
        <v>25.08421052631579</v>
      </c>
      <c r="I139" s="87">
        <f t="shared" si="16"/>
        <v>1.6539996529585286</v>
      </c>
    </row>
    <row r="140" spans="1:9" s="71" customFormat="1" ht="37" hidden="1" customHeight="1" x14ac:dyDescent="0.2">
      <c r="A140" s="76">
        <v>3305</v>
      </c>
      <c r="B140" s="73" t="s">
        <v>785</v>
      </c>
      <c r="C140" s="74">
        <f>C139+15</f>
        <v>55.25</v>
      </c>
      <c r="D140" s="69">
        <f>D139+'Raw Cost'!F1</f>
        <v>24.36578947368421</v>
      </c>
      <c r="E140" s="69"/>
      <c r="F140" s="69"/>
      <c r="G140" s="69"/>
      <c r="H140" s="68">
        <f t="shared" si="15"/>
        <v>30.88421052631579</v>
      </c>
      <c r="I140" s="70">
        <f t="shared" si="16"/>
        <v>1.2675234906577386</v>
      </c>
    </row>
    <row r="141" spans="1:9" ht="37" customHeight="1" x14ac:dyDescent="0.2">
      <c r="A141" s="86">
        <v>2457</v>
      </c>
      <c r="B141" s="84" t="s">
        <v>786</v>
      </c>
      <c r="C141" s="85">
        <v>90.25</v>
      </c>
      <c r="D141" s="69">
        <f>'Master Item List'!M248</f>
        <v>27.445</v>
      </c>
      <c r="E141" s="69" cm="1">
        <f t="array" ref="E141:G141">'Master Item List'!T248:V248</f>
        <v>35.75</v>
      </c>
      <c r="F141" s="69">
        <v>37</v>
      </c>
      <c r="G141" s="69">
        <v>38.5</v>
      </c>
      <c r="H141" s="69">
        <f t="shared" si="15"/>
        <v>62.805</v>
      </c>
      <c r="I141" s="87">
        <f t="shared" si="16"/>
        <v>2.2883949717617051</v>
      </c>
    </row>
    <row r="142" spans="1:9" s="71" customFormat="1" ht="37" hidden="1" customHeight="1" x14ac:dyDescent="0.2">
      <c r="A142" s="76">
        <v>3307</v>
      </c>
      <c r="B142" s="73" t="s">
        <v>787</v>
      </c>
      <c r="C142" s="74">
        <f>C141+15</f>
        <v>105.25</v>
      </c>
      <c r="D142" s="69">
        <f>D141+'Raw Cost'!F3</f>
        <v>30.945</v>
      </c>
      <c r="E142" s="69"/>
      <c r="F142" s="69"/>
      <c r="G142" s="69"/>
      <c r="H142" s="68">
        <f t="shared" si="15"/>
        <v>74.305000000000007</v>
      </c>
      <c r="I142" s="70">
        <f t="shared" si="16"/>
        <v>2.4011956697366297</v>
      </c>
    </row>
    <row r="143" spans="1:9" ht="37" customHeight="1" x14ac:dyDescent="0.2">
      <c r="A143" s="86">
        <v>1160</v>
      </c>
      <c r="B143" s="84" t="s">
        <v>788</v>
      </c>
      <c r="C143" s="85">
        <v>25.25</v>
      </c>
      <c r="D143" s="69">
        <f>'Master Item List'!M57</f>
        <v>13.882401960784314</v>
      </c>
      <c r="E143" s="69" cm="1">
        <f t="array" ref="E143:G143">'Master Item List'!T56:V56</f>
        <v>36.5</v>
      </c>
      <c r="F143" s="69">
        <v>37.75</v>
      </c>
      <c r="G143" s="69">
        <v>39.25</v>
      </c>
      <c r="H143" s="69">
        <f t="shared" si="15"/>
        <v>11.367598039215686</v>
      </c>
      <c r="I143" s="87">
        <f t="shared" si="16"/>
        <v>0.81884950971218318</v>
      </c>
    </row>
    <row r="144" spans="1:9" ht="37" customHeight="1" x14ac:dyDescent="0.2">
      <c r="A144" s="86">
        <v>1000</v>
      </c>
      <c r="B144" s="84" t="s">
        <v>789</v>
      </c>
      <c r="C144" s="85">
        <v>36.25</v>
      </c>
      <c r="D144" s="69">
        <f>'Master Item List'!M251</f>
        <v>69.815909090909088</v>
      </c>
      <c r="E144" s="69" cm="1">
        <f t="array" ref="E144:G144">'Master Item List'!T251:V251</f>
        <v>90.75</v>
      </c>
      <c r="F144" s="69">
        <v>94.25</v>
      </c>
      <c r="G144" s="69">
        <v>97.75</v>
      </c>
      <c r="H144" s="69">
        <f t="shared" si="15"/>
        <v>-33.565909090909088</v>
      </c>
      <c r="I144" s="87">
        <f t="shared" si="16"/>
        <v>-0.48077736905498225</v>
      </c>
    </row>
    <row r="145" spans="1:9" ht="37" customHeight="1" x14ac:dyDescent="0.2">
      <c r="A145" s="86">
        <v>1181</v>
      </c>
      <c r="B145" s="84" t="s">
        <v>790</v>
      </c>
      <c r="C145" s="85">
        <v>77.25</v>
      </c>
      <c r="D145" s="69">
        <f>'Master Item List'!M250</f>
        <v>29.475000000000001</v>
      </c>
      <c r="E145" s="69" cm="1">
        <f t="array" ref="E145:G145">'Master Item List'!T250:V250</f>
        <v>54.25</v>
      </c>
      <c r="F145" s="69">
        <v>55.75</v>
      </c>
      <c r="G145" s="69">
        <v>57.25</v>
      </c>
      <c r="H145" s="69">
        <f t="shared" si="15"/>
        <v>47.774999999999999</v>
      </c>
      <c r="I145" s="87">
        <f t="shared" si="16"/>
        <v>1.6208651399491092</v>
      </c>
    </row>
    <row r="146" spans="1:9" s="71" customFormat="1" ht="37" hidden="1" customHeight="1" x14ac:dyDescent="0.2">
      <c r="A146" s="76">
        <v>3308</v>
      </c>
      <c r="B146" s="73" t="s">
        <v>791</v>
      </c>
      <c r="C146" s="74">
        <f>C144+15</f>
        <v>51.25</v>
      </c>
      <c r="D146" s="69">
        <f>D144+'Raw Cost'!F3</f>
        <v>73.315909090909088</v>
      </c>
      <c r="E146" s="69"/>
      <c r="F146" s="69"/>
      <c r="G146" s="69"/>
      <c r="H146" s="68">
        <f t="shared" si="15"/>
        <v>-22.065909090909088</v>
      </c>
      <c r="I146" s="70">
        <f t="shared" si="16"/>
        <v>-0.30097027186211595</v>
      </c>
    </row>
    <row r="147" spans="1:9" ht="37" customHeight="1" x14ac:dyDescent="0.2">
      <c r="A147" s="86">
        <v>4725</v>
      </c>
      <c r="B147" s="84" t="s">
        <v>792</v>
      </c>
      <c r="C147" s="85">
        <v>80.25</v>
      </c>
      <c r="D147" s="69">
        <f>'Master Item List'!M255</f>
        <v>22.489705882352943</v>
      </c>
      <c r="E147" s="69" cm="1">
        <f t="array" ref="E147:G147">'Master Item List'!T255:V255</f>
        <v>45.25</v>
      </c>
      <c r="F147" s="69">
        <v>46.25</v>
      </c>
      <c r="G147" s="69">
        <v>47.5</v>
      </c>
      <c r="H147" s="69">
        <f t="shared" si="15"/>
        <v>57.760294117647057</v>
      </c>
      <c r="I147" s="87">
        <f t="shared" si="16"/>
        <v>2.5682992218662131</v>
      </c>
    </row>
    <row r="148" spans="1:9" ht="37" customHeight="1" x14ac:dyDescent="0.2">
      <c r="A148" s="86">
        <v>3297</v>
      </c>
      <c r="B148" s="84" t="s">
        <v>793</v>
      </c>
      <c r="C148" s="85">
        <v>32.5</v>
      </c>
      <c r="D148" s="69">
        <f>'Combo Pricing'!F22</f>
        <v>36.80715277777778</v>
      </c>
      <c r="E148" s="69" cm="1">
        <f t="array" ref="E148:G148">'Combo Pricing'!L22:N22</f>
        <v>50</v>
      </c>
      <c r="F148" s="69">
        <v>52</v>
      </c>
      <c r="G148" s="69">
        <v>53.75</v>
      </c>
      <c r="H148" s="69">
        <f t="shared" si="15"/>
        <v>-4.3071527777777803</v>
      </c>
      <c r="I148" s="87">
        <f t="shared" si="16"/>
        <v>-0.11701945009933537</v>
      </c>
    </row>
    <row r="149" spans="1:9" s="71" customFormat="1" ht="37" hidden="1" customHeight="1" x14ac:dyDescent="0.2">
      <c r="A149" s="76">
        <v>3298</v>
      </c>
      <c r="B149" s="73" t="s">
        <v>794</v>
      </c>
      <c r="C149" s="74">
        <f>C148+15</f>
        <v>47.5</v>
      </c>
      <c r="D149" s="69">
        <f>D148+'Raw Cost'!F3</f>
        <v>40.30715277777778</v>
      </c>
      <c r="E149" s="69"/>
      <c r="F149" s="69"/>
      <c r="G149" s="69"/>
      <c r="H149" s="68">
        <f t="shared" si="15"/>
        <v>7.1928472222222197</v>
      </c>
      <c r="I149" s="70">
        <f t="shared" si="16"/>
        <v>0.17845088840380199</v>
      </c>
    </row>
    <row r="150" spans="1:9" ht="37" customHeight="1" x14ac:dyDescent="0.2">
      <c r="A150" s="86">
        <v>3316</v>
      </c>
      <c r="B150" s="84" t="s">
        <v>795</v>
      </c>
      <c r="C150" s="85">
        <v>33.75</v>
      </c>
      <c r="D150" s="69">
        <f>'Combo Pricing'!F29</f>
        <v>38.915277777777781</v>
      </c>
      <c r="E150" s="69" cm="1">
        <f t="array" ref="E150:G150">'Combo Pricing'!L29:N29</f>
        <v>52.75</v>
      </c>
      <c r="F150" s="69">
        <v>54.75</v>
      </c>
      <c r="G150" s="69">
        <v>56.75</v>
      </c>
      <c r="H150" s="69">
        <f t="shared" si="15"/>
        <v>-5.1652777777777814</v>
      </c>
      <c r="I150" s="87">
        <f t="shared" si="16"/>
        <v>-0.13273136086227211</v>
      </c>
    </row>
    <row r="151" spans="1:9" s="71" customFormat="1" ht="37" hidden="1" customHeight="1" x14ac:dyDescent="0.2">
      <c r="A151" s="76">
        <v>3317</v>
      </c>
      <c r="B151" s="73" t="s">
        <v>796</v>
      </c>
      <c r="C151" s="74">
        <f>C150+15</f>
        <v>48.75</v>
      </c>
      <c r="D151" s="69">
        <f>D150+'Raw Cost'!F3</f>
        <v>42.415277777777781</v>
      </c>
      <c r="E151" s="69"/>
      <c r="F151" s="69"/>
      <c r="G151" s="69"/>
      <c r="H151" s="68">
        <f t="shared" si="15"/>
        <v>6.3347222222222186</v>
      </c>
      <c r="I151" s="70">
        <f t="shared" si="16"/>
        <v>0.14935001146075499</v>
      </c>
    </row>
    <row r="152" spans="1:9" ht="37" customHeight="1" x14ac:dyDescent="0.2">
      <c r="A152" s="86">
        <v>1404</v>
      </c>
      <c r="B152" s="84" t="s">
        <v>797</v>
      </c>
      <c r="C152" s="85">
        <v>27</v>
      </c>
      <c r="D152" s="69">
        <f>'Master Item List'!M334</f>
        <v>24.058333333333337</v>
      </c>
      <c r="E152" s="69" cm="1">
        <f t="array" ref="E152:G152">'Master Item List'!T334:V334</f>
        <v>47.25</v>
      </c>
      <c r="F152" s="69">
        <v>48.5</v>
      </c>
      <c r="G152" s="69">
        <v>49.75</v>
      </c>
      <c r="H152" s="69">
        <f t="shared" si="15"/>
        <v>2.9416666666666629</v>
      </c>
      <c r="I152" s="87">
        <f t="shared" si="16"/>
        <v>0.12227225493591946</v>
      </c>
    </row>
    <row r="153" spans="1:9" ht="37" customHeight="1" x14ac:dyDescent="0.2">
      <c r="A153" s="86">
        <v>2118</v>
      </c>
      <c r="B153" s="84" t="s">
        <v>798</v>
      </c>
      <c r="C153" s="85">
        <v>29.25</v>
      </c>
      <c r="D153" s="69">
        <f>'Master Item List'!M60</f>
        <v>4.6805555555555554</v>
      </c>
      <c r="E153" s="69" cm="1">
        <f t="array" ref="E153:G153">'Master Item List'!T60:V60</f>
        <v>6</v>
      </c>
      <c r="F153" s="69">
        <v>6.25</v>
      </c>
      <c r="G153" s="69">
        <v>6.5</v>
      </c>
      <c r="H153" s="69">
        <f t="shared" si="15"/>
        <v>24.569444444444443</v>
      </c>
      <c r="I153" s="87">
        <f t="shared" si="16"/>
        <v>5.2492581602373889</v>
      </c>
    </row>
    <row r="154" spans="1:9" ht="37" customHeight="1" x14ac:dyDescent="0.2">
      <c r="A154" s="86">
        <v>2416</v>
      </c>
      <c r="B154" s="84" t="s">
        <v>799</v>
      </c>
      <c r="C154" s="85">
        <v>29.25</v>
      </c>
      <c r="D154" s="69">
        <f>'Master Item List'!M333</f>
        <v>10.725</v>
      </c>
      <c r="E154" s="69" cm="1">
        <f t="array" ref="E154:G154">'Master Item List'!T333:V333</f>
        <v>14</v>
      </c>
      <c r="F154" s="69">
        <v>14.5</v>
      </c>
      <c r="G154" s="69">
        <v>15</v>
      </c>
      <c r="H154" s="69">
        <f t="shared" si="15"/>
        <v>18.524999999999999</v>
      </c>
      <c r="I154" s="87">
        <f t="shared" si="16"/>
        <v>1.7272727272727273</v>
      </c>
    </row>
    <row r="155" spans="1:9" ht="37" customHeight="1" x14ac:dyDescent="0.2">
      <c r="A155" s="86">
        <v>4728</v>
      </c>
      <c r="B155" s="84" t="s">
        <v>800</v>
      </c>
      <c r="C155" s="85">
        <v>37.25</v>
      </c>
      <c r="D155" s="69">
        <f>'Combo Pricing'!F25</f>
        <v>26.24790849673203</v>
      </c>
      <c r="E155" s="69" cm="1">
        <f t="array" ref="E155:G155">'Combo Pricing'!L25:N25</f>
        <v>36.25</v>
      </c>
      <c r="F155" s="69">
        <v>37.75</v>
      </c>
      <c r="G155" s="69">
        <v>39</v>
      </c>
      <c r="H155" s="69">
        <f t="shared" si="15"/>
        <v>11.00209150326797</v>
      </c>
      <c r="I155" s="87">
        <f t="shared" si="16"/>
        <v>0.41916069254195143</v>
      </c>
    </row>
    <row r="156" spans="1:9" s="71" customFormat="1" ht="37" hidden="1" customHeight="1" x14ac:dyDescent="0.2">
      <c r="A156" s="76">
        <v>3309</v>
      </c>
      <c r="B156" s="73" t="s">
        <v>801</v>
      </c>
      <c r="C156" s="74">
        <f>C155+15</f>
        <v>52.25</v>
      </c>
      <c r="D156" s="69">
        <f>D155+'Raw Cost'!F3</f>
        <v>29.74790849673203</v>
      </c>
      <c r="E156" s="69"/>
      <c r="F156" s="69"/>
      <c r="G156" s="69"/>
      <c r="H156" s="68">
        <f t="shared" si="15"/>
        <v>22.50209150326797</v>
      </c>
      <c r="I156" s="70">
        <f t="shared" si="16"/>
        <v>0.75642600237727453</v>
      </c>
    </row>
    <row r="157" spans="1:9" ht="37" customHeight="1" x14ac:dyDescent="0.2">
      <c r="A157" s="86">
        <v>3068</v>
      </c>
      <c r="B157" s="84" t="s">
        <v>802</v>
      </c>
      <c r="C157" s="85">
        <v>57.5</v>
      </c>
      <c r="D157" s="69">
        <f>'Master Item List'!M260</f>
        <v>52.191666666666663</v>
      </c>
      <c r="E157" s="69" cm="1">
        <f t="array" ref="E157:G157">'Master Item List'!T260:V260</f>
        <v>67.75</v>
      </c>
      <c r="F157" s="69">
        <v>70.5</v>
      </c>
      <c r="G157" s="69">
        <v>73</v>
      </c>
      <c r="H157" s="69">
        <f t="shared" si="15"/>
        <v>5.3083333333333371</v>
      </c>
      <c r="I157" s="87">
        <f t="shared" si="16"/>
        <v>0.10170844643142272</v>
      </c>
    </row>
    <row r="158" spans="1:9" s="71" customFormat="1" ht="37" hidden="1" customHeight="1" x14ac:dyDescent="0.2">
      <c r="A158" s="76">
        <v>3310</v>
      </c>
      <c r="B158" s="73" t="s">
        <v>803</v>
      </c>
      <c r="C158" s="74">
        <f>C157+15</f>
        <v>72.5</v>
      </c>
      <c r="D158" s="69">
        <f>D157+'Raw Cost'!F3</f>
        <v>55.691666666666663</v>
      </c>
      <c r="E158" s="69"/>
      <c r="F158" s="69"/>
      <c r="G158" s="69"/>
      <c r="H158" s="68">
        <f t="shared" si="15"/>
        <v>16.808333333333337</v>
      </c>
      <c r="I158" s="70">
        <f t="shared" si="16"/>
        <v>0.30181056411791118</v>
      </c>
    </row>
    <row r="159" spans="1:9" ht="37" customHeight="1" x14ac:dyDescent="0.2">
      <c r="A159" s="86">
        <v>1259</v>
      </c>
      <c r="B159" s="84" t="s">
        <v>804</v>
      </c>
      <c r="C159" s="85">
        <v>36.75</v>
      </c>
      <c r="D159" s="69">
        <f>'Master Item List'!M261</f>
        <v>30.006111111111114</v>
      </c>
      <c r="E159" s="69" cm="1">
        <f t="array" ref="E159:G159">'Master Item List'!T261:V261</f>
        <v>39</v>
      </c>
      <c r="F159" s="69">
        <v>40.5</v>
      </c>
      <c r="G159" s="69">
        <v>42</v>
      </c>
      <c r="H159" s="69">
        <f t="shared" ref="H159:H218" si="17">C159-D159</f>
        <v>6.7438888888888862</v>
      </c>
      <c r="I159" s="87">
        <f t="shared" ref="I159:I218" si="18">H159/D159</f>
        <v>0.22475051378422903</v>
      </c>
    </row>
    <row r="160" spans="1:9" s="71" customFormat="1" ht="37" hidden="1" customHeight="1" x14ac:dyDescent="0.2">
      <c r="A160" s="76">
        <v>3311</v>
      </c>
      <c r="B160" s="73" t="s">
        <v>805</v>
      </c>
      <c r="C160" s="74">
        <f>C159+15</f>
        <v>51.75</v>
      </c>
      <c r="D160" s="69">
        <f>D159+3.5</f>
        <v>33.50611111111111</v>
      </c>
      <c r="E160" s="69"/>
      <c r="F160" s="69"/>
      <c r="G160" s="69"/>
      <c r="H160" s="68">
        <f t="shared" si="17"/>
        <v>18.24388888888889</v>
      </c>
      <c r="I160" s="70">
        <f t="shared" si="18"/>
        <v>0.54449437084445629</v>
      </c>
    </row>
    <row r="161" spans="1:9" ht="37" customHeight="1" x14ac:dyDescent="0.2">
      <c r="A161" s="86">
        <v>3312</v>
      </c>
      <c r="B161" s="84" t="s">
        <v>806</v>
      </c>
      <c r="C161" s="85">
        <v>40.25</v>
      </c>
      <c r="D161" s="69">
        <f>'Combo Pricing'!F27</f>
        <v>45.577111111111115</v>
      </c>
      <c r="E161" s="69" cm="1">
        <f t="array" ref="E161:G161">'Combo Pricing'!L27:N27</f>
        <v>61.5</v>
      </c>
      <c r="F161" s="69">
        <v>63.75</v>
      </c>
      <c r="G161" s="69">
        <v>66</v>
      </c>
      <c r="H161" s="69">
        <f t="shared" si="17"/>
        <v>-5.3271111111111153</v>
      </c>
      <c r="I161" s="87">
        <f t="shared" si="18"/>
        <v>-0.116881280564806</v>
      </c>
    </row>
    <row r="162" spans="1:9" s="71" customFormat="1" ht="37" hidden="1" customHeight="1" x14ac:dyDescent="0.2">
      <c r="A162" s="76">
        <v>3313</v>
      </c>
      <c r="B162" s="73" t="s">
        <v>807</v>
      </c>
      <c r="C162" s="74">
        <f>C161+15</f>
        <v>55.25</v>
      </c>
      <c r="D162" s="69">
        <f>D161+'Raw Cost'!F3</f>
        <v>49.077111111111115</v>
      </c>
      <c r="E162" s="69"/>
      <c r="F162" s="69"/>
      <c r="G162" s="69"/>
      <c r="H162" s="68">
        <f t="shared" si="17"/>
        <v>6.1728888888888847</v>
      </c>
      <c r="I162" s="70">
        <f t="shared" si="18"/>
        <v>0.12577938572858122</v>
      </c>
    </row>
    <row r="163" spans="1:9" s="71" customFormat="1" ht="37" hidden="1" customHeight="1" x14ac:dyDescent="0.2">
      <c r="A163" s="76">
        <v>3315</v>
      </c>
      <c r="B163" s="73" t="s">
        <v>808</v>
      </c>
      <c r="C163" s="74">
        <f>C164+15</f>
        <v>50.75</v>
      </c>
      <c r="D163" s="69">
        <f>D164+'Raw Cost'!F3</f>
        <v>28.576771929824563</v>
      </c>
      <c r="E163" s="69"/>
      <c r="F163" s="69"/>
      <c r="G163" s="69"/>
      <c r="H163" s="68">
        <f t="shared" si="17"/>
        <v>22.173228070175437</v>
      </c>
      <c r="I163" s="70">
        <f t="shared" si="18"/>
        <v>0.77591787220144437</v>
      </c>
    </row>
    <row r="164" spans="1:9" ht="37" customHeight="1" x14ac:dyDescent="0.2">
      <c r="A164" s="86">
        <v>3314</v>
      </c>
      <c r="B164" s="84" t="s">
        <v>809</v>
      </c>
      <c r="C164" s="85">
        <v>35.75</v>
      </c>
      <c r="D164" s="69">
        <f>'Combo Pricing'!F28</f>
        <v>25.076771929824563</v>
      </c>
      <c r="E164" s="69" cm="1">
        <f t="array" ref="E164:G164">'Combo Pricing'!L28:N28</f>
        <v>34.75</v>
      </c>
      <c r="F164" s="69">
        <v>36</v>
      </c>
      <c r="G164" s="69">
        <v>37.25</v>
      </c>
      <c r="H164" s="69">
        <f t="shared" si="17"/>
        <v>10.673228070175437</v>
      </c>
      <c r="I164" s="87">
        <f t="shared" si="18"/>
        <v>0.42562208963911513</v>
      </c>
    </row>
    <row r="165" spans="1:9" ht="37" customHeight="1" x14ac:dyDescent="0.2">
      <c r="A165" s="83">
        <v>975</v>
      </c>
      <c r="B165" s="84" t="s">
        <v>810</v>
      </c>
      <c r="C165" s="85">
        <v>27</v>
      </c>
      <c r="D165" s="69">
        <f>'Master Item List'!M65</f>
        <v>17.301666666666669</v>
      </c>
      <c r="E165" s="69" cm="1">
        <f t="array" ref="E165:G165">'Master Item List'!T65:V65</f>
        <v>22.5</v>
      </c>
      <c r="F165" s="69">
        <v>23.25</v>
      </c>
      <c r="G165" s="69">
        <v>24.25</v>
      </c>
      <c r="H165" s="69">
        <f t="shared" si="17"/>
        <v>9.6983333333333306</v>
      </c>
      <c r="I165" s="87">
        <f t="shared" si="18"/>
        <v>0.56054330026009025</v>
      </c>
    </row>
    <row r="166" spans="1:9" ht="37" customHeight="1" x14ac:dyDescent="0.2">
      <c r="A166" s="83">
        <v>610</v>
      </c>
      <c r="B166" s="84" t="s">
        <v>811</v>
      </c>
      <c r="C166" s="85">
        <v>27</v>
      </c>
      <c r="D166" s="69">
        <f>'Master Item List'!M66</f>
        <v>28.603333333333335</v>
      </c>
      <c r="E166" s="69" cm="1">
        <f t="array" ref="E166:G166">'Master Item List'!T66:V66</f>
        <v>37.25</v>
      </c>
      <c r="F166" s="69">
        <v>38.5</v>
      </c>
      <c r="G166" s="69">
        <v>40</v>
      </c>
      <c r="H166" s="69">
        <f t="shared" si="17"/>
        <v>-1.6033333333333353</v>
      </c>
      <c r="I166" s="87">
        <f t="shared" si="18"/>
        <v>-5.6054072951870475E-2</v>
      </c>
    </row>
    <row r="167" spans="1:9" ht="37" customHeight="1" x14ac:dyDescent="0.2">
      <c r="A167" s="86">
        <v>4713</v>
      </c>
      <c r="B167" s="84" t="s">
        <v>812</v>
      </c>
      <c r="C167" s="85">
        <v>24.25</v>
      </c>
      <c r="D167" s="69">
        <f>'Master Item List'!M69</f>
        <v>22.137727272727272</v>
      </c>
      <c r="E167" s="69" cm="1">
        <f t="array" ref="E167:G167">'Master Item List'!T69:V69</f>
        <v>28.75</v>
      </c>
      <c r="F167" s="69">
        <v>30</v>
      </c>
      <c r="G167" s="69">
        <v>31</v>
      </c>
      <c r="H167" s="69">
        <f t="shared" si="17"/>
        <v>2.1122727272727282</v>
      </c>
      <c r="I167" s="87">
        <f t="shared" si="18"/>
        <v>9.5415066833665324E-2</v>
      </c>
    </row>
    <row r="168" spans="1:9" ht="37" customHeight="1" x14ac:dyDescent="0.2">
      <c r="A168" s="86">
        <v>1405</v>
      </c>
      <c r="B168" s="84" t="s">
        <v>813</v>
      </c>
      <c r="C168" s="85">
        <v>30.25</v>
      </c>
      <c r="D168" s="69">
        <f>'Master Item List'!M270</f>
        <v>25.824333333333335</v>
      </c>
      <c r="E168" s="69" cm="1">
        <f t="array" ref="E168:G168">'Master Item List'!T270:V270</f>
        <v>33.5</v>
      </c>
      <c r="F168" s="69">
        <v>34.75</v>
      </c>
      <c r="G168" s="69">
        <v>36.25</v>
      </c>
      <c r="H168" s="69">
        <f t="shared" si="17"/>
        <v>4.4256666666666646</v>
      </c>
      <c r="I168" s="87">
        <f t="shared" si="18"/>
        <v>0.17137583416157878</v>
      </c>
    </row>
    <row r="169" spans="1:9" s="71" customFormat="1" ht="37" hidden="1" customHeight="1" x14ac:dyDescent="0.2">
      <c r="A169" s="76">
        <v>2441</v>
      </c>
      <c r="B169" s="73" t="s">
        <v>814</v>
      </c>
      <c r="C169" s="74">
        <f>C168+15</f>
        <v>45.25</v>
      </c>
      <c r="D169" s="69">
        <f>D168+'Raw Cost'!F3</f>
        <v>29.324333333333335</v>
      </c>
      <c r="E169" s="69"/>
      <c r="F169" s="69"/>
      <c r="G169" s="69"/>
      <c r="H169" s="68">
        <f t="shared" si="17"/>
        <v>15.925666666666665</v>
      </c>
      <c r="I169" s="70">
        <f t="shared" si="18"/>
        <v>0.5430870835369942</v>
      </c>
    </row>
    <row r="170" spans="1:9" s="71" customFormat="1" ht="37" hidden="1" customHeight="1" x14ac:dyDescent="0.2">
      <c r="A170" s="76">
        <v>2425</v>
      </c>
      <c r="B170" s="73" t="s">
        <v>815</v>
      </c>
      <c r="C170" s="74">
        <f>C168+15</f>
        <v>45.25</v>
      </c>
      <c r="D170" s="69">
        <f>D168+'Raw Cost'!F1</f>
        <v>35.024333333333331</v>
      </c>
      <c r="E170" s="69"/>
      <c r="F170" s="69"/>
      <c r="G170" s="69"/>
      <c r="H170" s="68">
        <f t="shared" si="17"/>
        <v>10.225666666666669</v>
      </c>
      <c r="I170" s="70">
        <f t="shared" si="18"/>
        <v>0.29195892379583727</v>
      </c>
    </row>
    <row r="171" spans="1:9" ht="37" customHeight="1" x14ac:dyDescent="0.2">
      <c r="A171" s="86">
        <v>2408</v>
      </c>
      <c r="B171" s="84" t="s">
        <v>816</v>
      </c>
      <c r="C171" s="85">
        <v>30.25</v>
      </c>
      <c r="D171" s="69">
        <f>'Master Item List'!M70</f>
        <v>14.891363636363637</v>
      </c>
      <c r="E171" s="69" cm="1">
        <f t="array" ref="E171:G171">'Master Item List'!T70:V70</f>
        <v>19.25</v>
      </c>
      <c r="F171" s="69">
        <v>20</v>
      </c>
      <c r="G171" s="69">
        <v>20.75</v>
      </c>
      <c r="H171" s="69">
        <f t="shared" si="17"/>
        <v>15.358636363636363</v>
      </c>
      <c r="I171" s="87">
        <f t="shared" si="18"/>
        <v>1.031378773541711</v>
      </c>
    </row>
    <row r="172" spans="1:9" ht="37" customHeight="1" x14ac:dyDescent="0.2">
      <c r="A172" s="86">
        <v>2033</v>
      </c>
      <c r="B172" s="84" t="s">
        <v>817</v>
      </c>
      <c r="C172" s="85">
        <v>35.75</v>
      </c>
      <c r="D172" s="69">
        <f>'Master Item List'!M274</f>
        <v>22.287500000000001</v>
      </c>
      <c r="E172" s="69" cm="1">
        <f t="array" ref="E172:G172">'Master Item List'!T274:V274</f>
        <v>45</v>
      </c>
      <c r="F172" s="69">
        <v>46</v>
      </c>
      <c r="G172" s="69">
        <v>47.25</v>
      </c>
      <c r="H172" s="69">
        <f t="shared" si="17"/>
        <v>13.462499999999999</v>
      </c>
      <c r="I172" s="87">
        <f t="shared" si="18"/>
        <v>0.60403813796971384</v>
      </c>
    </row>
    <row r="173" spans="1:9" s="71" customFormat="1" ht="37" hidden="1" customHeight="1" x14ac:dyDescent="0.2">
      <c r="A173" s="76">
        <v>3160</v>
      </c>
      <c r="B173" s="73" t="s">
        <v>818</v>
      </c>
      <c r="C173" s="74">
        <v>999.99</v>
      </c>
      <c r="D173" s="69">
        <f>'Master Item List'!M275</f>
        <v>22.119</v>
      </c>
      <c r="E173" s="69" cm="1">
        <f t="array" ref="E173:G173">'Master Item List'!T275:V275</f>
        <v>28.75</v>
      </c>
      <c r="F173" s="69">
        <v>29.75</v>
      </c>
      <c r="G173" s="69">
        <v>31</v>
      </c>
      <c r="H173" s="68">
        <f t="shared" si="17"/>
        <v>977.87099999999998</v>
      </c>
      <c r="I173" s="70">
        <f t="shared" si="18"/>
        <v>44.209548352095482</v>
      </c>
    </row>
    <row r="174" spans="1:9" ht="37" customHeight="1" x14ac:dyDescent="0.2">
      <c r="A174" s="86">
        <v>1307</v>
      </c>
      <c r="B174" s="84" t="s">
        <v>819</v>
      </c>
      <c r="C174" s="85">
        <v>33.25</v>
      </c>
      <c r="D174" s="69">
        <f>'Master Item List'!M72</f>
        <v>23.810000000000002</v>
      </c>
      <c r="E174" s="69" cm="1">
        <f t="array" ref="E174:G174">'Master Item List'!T72:V72</f>
        <v>31</v>
      </c>
      <c r="F174" s="69">
        <v>32.25</v>
      </c>
      <c r="G174" s="69">
        <v>33.25</v>
      </c>
      <c r="H174" s="69">
        <f t="shared" si="17"/>
        <v>9.4399999999999977</v>
      </c>
      <c r="I174" s="87">
        <f t="shared" si="18"/>
        <v>0.39647207055858869</v>
      </c>
    </row>
    <row r="175" spans="1:9" ht="37" customHeight="1" x14ac:dyDescent="0.2">
      <c r="A175" s="86">
        <v>2456</v>
      </c>
      <c r="B175" s="84" t="s">
        <v>820</v>
      </c>
      <c r="C175" s="85">
        <v>90.5</v>
      </c>
      <c r="D175" s="69">
        <f>'Master Item List'!M277</f>
        <v>20.933333333333337</v>
      </c>
      <c r="E175" s="69" cm="1">
        <f t="array" ref="E175:G175">'Master Item List'!T277:V277</f>
        <v>27.25</v>
      </c>
      <c r="F175" s="69">
        <v>28.25</v>
      </c>
      <c r="G175" s="69">
        <v>29.25</v>
      </c>
      <c r="H175" s="69">
        <f t="shared" si="17"/>
        <v>69.566666666666663</v>
      </c>
      <c r="I175" s="87">
        <f t="shared" si="18"/>
        <v>3.3232484076433115</v>
      </c>
    </row>
    <row r="176" spans="1:9" s="71" customFormat="1" ht="37" hidden="1" customHeight="1" x14ac:dyDescent="0.2">
      <c r="A176" s="76">
        <v>2935</v>
      </c>
      <c r="B176" s="73" t="s">
        <v>821</v>
      </c>
      <c r="C176" s="74">
        <v>55.5</v>
      </c>
      <c r="D176" s="69">
        <f>'Master Item List'!M73</f>
        <v>20.428333333333335</v>
      </c>
      <c r="E176" s="69" cm="1">
        <f t="array" ref="E176:G176">'Master Item List'!T73:V73</f>
        <v>26.5</v>
      </c>
      <c r="F176" s="69">
        <v>27.5</v>
      </c>
      <c r="G176" s="69">
        <v>28.5</v>
      </c>
      <c r="H176" s="68">
        <f t="shared" si="17"/>
        <v>35.071666666666665</v>
      </c>
      <c r="I176" s="70">
        <f t="shared" si="18"/>
        <v>1.7168148812923225</v>
      </c>
    </row>
    <row r="177" spans="1:9" s="71" customFormat="1" ht="37" hidden="1" customHeight="1" x14ac:dyDescent="0.2">
      <c r="A177" s="76">
        <v>2936</v>
      </c>
      <c r="B177" s="73" t="s">
        <v>822</v>
      </c>
      <c r="C177" s="74">
        <v>999.99</v>
      </c>
      <c r="D177" s="69"/>
      <c r="E177" s="69"/>
      <c r="F177" s="69"/>
      <c r="G177" s="69"/>
      <c r="H177" s="68">
        <f t="shared" si="17"/>
        <v>999.99</v>
      </c>
      <c r="I177" s="70" t="e">
        <f t="shared" si="18"/>
        <v>#DIV/0!</v>
      </c>
    </row>
    <row r="178" spans="1:9" ht="37" customHeight="1" x14ac:dyDescent="0.2">
      <c r="A178" s="86">
        <v>1408</v>
      </c>
      <c r="B178" s="84" t="s">
        <v>823</v>
      </c>
      <c r="C178" s="85">
        <v>39.75</v>
      </c>
      <c r="D178" s="69">
        <f>'Master Item List'!M279</f>
        <v>19.162500000000001</v>
      </c>
      <c r="E178" s="69" cm="1">
        <f t="array" ref="E178:G178">'Master Item List'!T279:V279</f>
        <v>25</v>
      </c>
      <c r="F178" s="69">
        <v>25.75</v>
      </c>
      <c r="G178" s="69">
        <v>26.75</v>
      </c>
      <c r="H178" s="69">
        <f t="shared" si="17"/>
        <v>20.587499999999999</v>
      </c>
      <c r="I178" s="87">
        <f t="shared" si="18"/>
        <v>1.0743639921722112</v>
      </c>
    </row>
    <row r="179" spans="1:9" ht="37" customHeight="1" x14ac:dyDescent="0.2">
      <c r="A179" s="86">
        <v>2976</v>
      </c>
      <c r="B179" s="84" t="s">
        <v>824</v>
      </c>
      <c r="C179" s="85">
        <v>33.25</v>
      </c>
      <c r="D179" s="69">
        <f>'Master Item List'!M74</f>
        <v>22.635000000000002</v>
      </c>
      <c r="E179" s="69" cm="1">
        <f t="array" ref="E179:G179">'Master Item List'!T74:V74</f>
        <v>29.5</v>
      </c>
      <c r="F179" s="69">
        <v>30.5</v>
      </c>
      <c r="G179" s="69">
        <v>31.75</v>
      </c>
      <c r="H179" s="69">
        <f t="shared" si="17"/>
        <v>10.614999999999998</v>
      </c>
      <c r="I179" s="87">
        <f t="shared" si="18"/>
        <v>0.46896399381488835</v>
      </c>
    </row>
    <row r="180" spans="1:9" s="71" customFormat="1" ht="37" hidden="1" customHeight="1" x14ac:dyDescent="0.2">
      <c r="A180" s="76">
        <v>3322</v>
      </c>
      <c r="B180" s="73" t="s">
        <v>825</v>
      </c>
      <c r="C180" s="74">
        <f>C178+15</f>
        <v>54.75</v>
      </c>
      <c r="D180" s="69">
        <f>D178+'Raw Cost'!F3</f>
        <v>22.662500000000001</v>
      </c>
      <c r="E180" s="69"/>
      <c r="F180" s="69"/>
      <c r="G180" s="69"/>
      <c r="H180" s="68">
        <f t="shared" si="17"/>
        <v>32.087499999999999</v>
      </c>
      <c r="I180" s="70">
        <f t="shared" si="18"/>
        <v>1.4158852730281299</v>
      </c>
    </row>
    <row r="181" spans="1:9" ht="37" customHeight="1" x14ac:dyDescent="0.2">
      <c r="A181" s="86">
        <v>3344</v>
      </c>
      <c r="B181" s="84" t="s">
        <v>826</v>
      </c>
      <c r="C181" s="85">
        <v>36.5</v>
      </c>
      <c r="D181" s="69">
        <f>'Combo Pricing'!F26</f>
        <v>25.357352941176472</v>
      </c>
      <c r="E181" s="69" cm="1">
        <f t="array" ref="E181:G181">'Combo Pricing'!L26:N26</f>
        <v>35.25</v>
      </c>
      <c r="F181" s="69">
        <v>36.5</v>
      </c>
      <c r="G181" s="69">
        <v>37.75</v>
      </c>
      <c r="H181" s="69">
        <f t="shared" si="17"/>
        <v>11.142647058823528</v>
      </c>
      <c r="I181" s="87">
        <f t="shared" si="18"/>
        <v>0.43942469407875651</v>
      </c>
    </row>
    <row r="182" spans="1:9" s="71" customFormat="1" ht="37" hidden="1" customHeight="1" x14ac:dyDescent="0.2">
      <c r="A182" s="76">
        <v>3345</v>
      </c>
      <c r="B182" s="73" t="s">
        <v>827</v>
      </c>
      <c r="C182" s="74">
        <f>C181+15</f>
        <v>51.5</v>
      </c>
      <c r="D182" s="69">
        <f>D181+'Raw Cost'!F3</f>
        <v>28.857352941176472</v>
      </c>
      <c r="E182" s="69"/>
      <c r="F182" s="69"/>
      <c r="G182" s="69"/>
      <c r="H182" s="68">
        <f t="shared" si="17"/>
        <v>22.642647058823528</v>
      </c>
      <c r="I182" s="70">
        <f t="shared" si="18"/>
        <v>0.78464047291443706</v>
      </c>
    </row>
    <row r="183" spans="1:9" ht="37" customHeight="1" x14ac:dyDescent="0.2">
      <c r="A183" s="86">
        <v>3318</v>
      </c>
      <c r="B183" s="84" t="s">
        <v>828</v>
      </c>
      <c r="C183" s="85">
        <v>35.25</v>
      </c>
      <c r="D183" s="69">
        <f>'Combo Pricing'!F30</f>
        <v>23.693750000000001</v>
      </c>
      <c r="E183" s="69" cm="1">
        <f t="array" ref="E183:G183">'Combo Pricing'!L30:N30</f>
        <v>33</v>
      </c>
      <c r="F183" s="69">
        <v>34.25</v>
      </c>
      <c r="G183" s="69">
        <v>35.5</v>
      </c>
      <c r="H183" s="69">
        <f t="shared" si="17"/>
        <v>11.556249999999999</v>
      </c>
      <c r="I183" s="87">
        <f t="shared" si="18"/>
        <v>0.48773410709575299</v>
      </c>
    </row>
    <row r="184" spans="1:9" s="71" customFormat="1" ht="37" hidden="1" customHeight="1" x14ac:dyDescent="0.2">
      <c r="A184" s="76">
        <v>3319</v>
      </c>
      <c r="B184" s="73" t="s">
        <v>829</v>
      </c>
      <c r="C184" s="74">
        <f>C183+15</f>
        <v>50.25</v>
      </c>
      <c r="D184" s="69">
        <f>D183+'Raw Cost'!F3</f>
        <v>27.193750000000001</v>
      </c>
      <c r="E184" s="69"/>
      <c r="F184" s="69"/>
      <c r="G184" s="69"/>
      <c r="H184" s="68">
        <f t="shared" si="17"/>
        <v>23.056249999999999</v>
      </c>
      <c r="I184" s="70">
        <f t="shared" si="18"/>
        <v>0.8478510687198344</v>
      </c>
    </row>
    <row r="185" spans="1:9" s="71" customFormat="1" ht="37" hidden="1" customHeight="1" x14ac:dyDescent="0.2">
      <c r="A185" s="76">
        <v>1398</v>
      </c>
      <c r="B185" s="73" t="s">
        <v>830</v>
      </c>
      <c r="C185" s="74">
        <v>10</v>
      </c>
      <c r="D185" s="69"/>
      <c r="E185" s="69"/>
      <c r="F185" s="69"/>
      <c r="G185" s="69"/>
      <c r="H185" s="68">
        <f t="shared" si="17"/>
        <v>10</v>
      </c>
      <c r="I185" s="70" t="e">
        <f t="shared" si="18"/>
        <v>#DIV/0!</v>
      </c>
    </row>
    <row r="186" spans="1:9" s="71" customFormat="1" ht="37" hidden="1" customHeight="1" x14ac:dyDescent="0.2">
      <c r="A186" s="72">
        <v>132</v>
      </c>
      <c r="B186" s="73" t="s">
        <v>831</v>
      </c>
      <c r="C186" s="74">
        <v>18</v>
      </c>
      <c r="D186" s="69"/>
      <c r="E186" s="69"/>
      <c r="F186" s="69"/>
      <c r="G186" s="69"/>
      <c r="H186" s="68">
        <f t="shared" si="17"/>
        <v>18</v>
      </c>
      <c r="I186" s="70" t="e">
        <f t="shared" si="18"/>
        <v>#DIV/0!</v>
      </c>
    </row>
    <row r="187" spans="1:9" s="71" customFormat="1" ht="37" hidden="1" customHeight="1" x14ac:dyDescent="0.2">
      <c r="A187" s="72">
        <v>135</v>
      </c>
      <c r="B187" s="73" t="s">
        <v>832</v>
      </c>
      <c r="C187" s="74">
        <v>10</v>
      </c>
      <c r="D187" s="69"/>
      <c r="E187" s="69"/>
      <c r="F187" s="69"/>
      <c r="G187" s="69"/>
      <c r="H187" s="68">
        <f t="shared" si="17"/>
        <v>10</v>
      </c>
      <c r="I187" s="70" t="e">
        <f t="shared" si="18"/>
        <v>#DIV/0!</v>
      </c>
    </row>
    <row r="188" spans="1:9" s="71" customFormat="1" ht="37" hidden="1" customHeight="1" x14ac:dyDescent="0.2">
      <c r="A188" s="72">
        <v>490</v>
      </c>
      <c r="B188" s="73" t="s">
        <v>833</v>
      </c>
      <c r="C188" s="74">
        <v>10.5</v>
      </c>
      <c r="D188" s="69"/>
      <c r="E188" s="69"/>
      <c r="F188" s="69"/>
      <c r="G188" s="69"/>
      <c r="H188" s="68">
        <f t="shared" si="17"/>
        <v>10.5</v>
      </c>
      <c r="I188" s="70" t="e">
        <f t="shared" si="18"/>
        <v>#DIV/0!</v>
      </c>
    </row>
    <row r="189" spans="1:9" ht="37" customHeight="1" x14ac:dyDescent="0.2">
      <c r="A189" s="83">
        <v>870</v>
      </c>
      <c r="B189" s="84" t="s">
        <v>834</v>
      </c>
      <c r="C189" s="85">
        <v>30.25</v>
      </c>
      <c r="D189" s="69">
        <f>'Master Item List'!M160</f>
        <v>19.808333333333334</v>
      </c>
      <c r="E189" s="69" cm="1">
        <f t="array" ref="E189:G189">'Master Item List'!T160:V160</f>
        <v>25.75</v>
      </c>
      <c r="F189" s="69">
        <v>26.75</v>
      </c>
      <c r="G189" s="69">
        <v>27.75</v>
      </c>
      <c r="H189" s="69">
        <f t="shared" si="17"/>
        <v>10.441666666666666</v>
      </c>
      <c r="I189" s="87">
        <f t="shared" si="18"/>
        <v>0.52713504417332768</v>
      </c>
    </row>
    <row r="190" spans="1:9" ht="37" customHeight="1" x14ac:dyDescent="0.2">
      <c r="A190" s="89">
        <v>4708</v>
      </c>
      <c r="B190" s="84" t="s">
        <v>835</v>
      </c>
      <c r="C190" s="85">
        <v>55.25</v>
      </c>
      <c r="D190" s="69">
        <f>'Master Item List'!M76</f>
        <v>44.475000000000001</v>
      </c>
      <c r="E190" s="69" cm="1">
        <f t="array" ref="E190:G190">'Master Item List'!T76:V76</f>
        <v>57.75</v>
      </c>
      <c r="F190" s="69">
        <v>60</v>
      </c>
      <c r="G190" s="69">
        <v>62.25</v>
      </c>
      <c r="H190" s="69">
        <f t="shared" si="17"/>
        <v>10.774999999999999</v>
      </c>
      <c r="I190" s="87">
        <f t="shared" si="18"/>
        <v>0.24227093872962335</v>
      </c>
    </row>
    <row r="191" spans="1:9" ht="37" customHeight="1" x14ac:dyDescent="0.2">
      <c r="A191" s="86">
        <v>1817</v>
      </c>
      <c r="B191" s="84" t="s">
        <v>836</v>
      </c>
      <c r="C191" s="85">
        <v>55.25</v>
      </c>
      <c r="D191" s="69">
        <f>D190</f>
        <v>44.475000000000001</v>
      </c>
      <c r="E191" s="69"/>
      <c r="F191" s="69"/>
      <c r="G191" s="69"/>
      <c r="H191" s="69">
        <f t="shared" si="17"/>
        <v>10.774999999999999</v>
      </c>
      <c r="I191" s="87">
        <f t="shared" si="18"/>
        <v>0.24227093872962335</v>
      </c>
    </row>
    <row r="192" spans="1:9" s="71" customFormat="1" ht="37" hidden="1" customHeight="1" x14ac:dyDescent="0.2">
      <c r="A192" s="76">
        <v>4744</v>
      </c>
      <c r="B192" s="73" t="s">
        <v>837</v>
      </c>
      <c r="C192" s="74">
        <v>999.99</v>
      </c>
      <c r="D192" s="69"/>
      <c r="E192" s="69"/>
      <c r="F192" s="69"/>
      <c r="G192" s="69"/>
      <c r="H192" s="68">
        <f t="shared" si="17"/>
        <v>999.99</v>
      </c>
      <c r="I192" s="70" t="e">
        <f t="shared" si="18"/>
        <v>#DIV/0!</v>
      </c>
    </row>
    <row r="193" spans="1:9" ht="37" customHeight="1" x14ac:dyDescent="0.2">
      <c r="A193" s="86">
        <v>4712</v>
      </c>
      <c r="B193" s="84" t="s">
        <v>838</v>
      </c>
      <c r="C193" s="85">
        <v>28.75</v>
      </c>
      <c r="D193" s="69">
        <f>'Master Item List'!M79</f>
        <v>18.839444444444446</v>
      </c>
      <c r="E193" s="69" cm="1">
        <f t="array" ref="E193:G193">'Master Item List'!T79:V79</f>
        <v>24.5</v>
      </c>
      <c r="F193" s="69">
        <v>25.5</v>
      </c>
      <c r="G193" s="69">
        <v>26.5</v>
      </c>
      <c r="H193" s="69">
        <f t="shared" si="17"/>
        <v>9.910555555555554</v>
      </c>
      <c r="I193" s="87">
        <f t="shared" si="18"/>
        <v>0.52605349296688375</v>
      </c>
    </row>
    <row r="194" spans="1:9" ht="37" customHeight="1" x14ac:dyDescent="0.2">
      <c r="A194" s="83">
        <v>542</v>
      </c>
      <c r="B194" s="84" t="s">
        <v>839</v>
      </c>
      <c r="C194" s="85">
        <v>37.5</v>
      </c>
      <c r="D194" s="69">
        <f>'Master Item List'!M77</f>
        <v>26.99388888888889</v>
      </c>
      <c r="E194" s="69" cm="1">
        <f t="array" ref="E194:G194">'Master Item List'!T77:V77</f>
        <v>35</v>
      </c>
      <c r="F194" s="69">
        <v>36.5</v>
      </c>
      <c r="G194" s="69">
        <v>37.75</v>
      </c>
      <c r="H194" s="69">
        <f t="shared" si="17"/>
        <v>10.50611111111111</v>
      </c>
      <c r="I194" s="87">
        <f t="shared" si="18"/>
        <v>0.38920331762333032</v>
      </c>
    </row>
    <row r="195" spans="1:9" ht="37" customHeight="1" x14ac:dyDescent="0.2">
      <c r="A195" s="86">
        <v>1397</v>
      </c>
      <c r="B195" s="84" t="s">
        <v>840</v>
      </c>
      <c r="C195" s="85">
        <v>28.75</v>
      </c>
      <c r="D195" s="69">
        <f>'Master Item List'!M79</f>
        <v>18.839444444444446</v>
      </c>
      <c r="E195" s="69" cm="1">
        <f t="array" ref="E195:G195">'Master Item List'!T79:V79</f>
        <v>24.5</v>
      </c>
      <c r="F195" s="69">
        <v>25.5</v>
      </c>
      <c r="G195" s="69">
        <v>26.5</v>
      </c>
      <c r="H195" s="69">
        <f t="shared" si="17"/>
        <v>9.910555555555554</v>
      </c>
      <c r="I195" s="87">
        <f t="shared" si="18"/>
        <v>0.52605349296688375</v>
      </c>
    </row>
    <row r="196" spans="1:9" ht="37" customHeight="1" x14ac:dyDescent="0.2">
      <c r="A196" s="83">
        <v>147</v>
      </c>
      <c r="B196" s="84" t="s">
        <v>841</v>
      </c>
      <c r="C196" s="85">
        <v>28.75</v>
      </c>
      <c r="D196" s="69">
        <f>'Master Item List'!M84</f>
        <v>43.395000000000003</v>
      </c>
      <c r="E196" s="69" cm="1">
        <f t="array" ref="E196:G196">'Master Item List'!T84:V84</f>
        <v>56.5</v>
      </c>
      <c r="F196" s="69">
        <v>58.5</v>
      </c>
      <c r="G196" s="69">
        <v>60.75</v>
      </c>
      <c r="H196" s="69">
        <f t="shared" si="17"/>
        <v>-14.645000000000003</v>
      </c>
      <c r="I196" s="87">
        <f t="shared" si="18"/>
        <v>-0.33748127664477479</v>
      </c>
    </row>
    <row r="197" spans="1:9" ht="37" customHeight="1" x14ac:dyDescent="0.2">
      <c r="A197" s="86">
        <v>4743</v>
      </c>
      <c r="B197" s="84" t="s">
        <v>842</v>
      </c>
      <c r="C197" s="85">
        <v>41.5</v>
      </c>
      <c r="D197" s="69">
        <f>'Master Item List'!M97</f>
        <v>7.4175000000000004</v>
      </c>
      <c r="E197" s="69" cm="1">
        <f t="array" ref="E197:G197">'Master Item List'!T97:V97</f>
        <v>9.75</v>
      </c>
      <c r="F197" s="69">
        <v>10</v>
      </c>
      <c r="G197" s="69">
        <v>10.5</v>
      </c>
      <c r="H197" s="69">
        <f t="shared" si="17"/>
        <v>34.082499999999996</v>
      </c>
      <c r="I197" s="87">
        <f t="shared" si="18"/>
        <v>4.5948769801145932</v>
      </c>
    </row>
    <row r="198" spans="1:9" ht="37" customHeight="1" x14ac:dyDescent="0.2">
      <c r="A198" s="84" t="s">
        <v>843</v>
      </c>
      <c r="B198" s="84" t="s">
        <v>844</v>
      </c>
      <c r="C198" s="85">
        <v>9.75</v>
      </c>
      <c r="D198" s="69">
        <f>'Master Item List'!M94</f>
        <v>16.855</v>
      </c>
      <c r="E198" s="69" cm="1">
        <f t="array" ref="E198:G198">'Master Item List'!T94:V94</f>
        <v>22</v>
      </c>
      <c r="F198" s="69">
        <v>22.75</v>
      </c>
      <c r="G198" s="69">
        <v>23.5</v>
      </c>
      <c r="H198" s="69">
        <f t="shared" si="17"/>
        <v>-7.1050000000000004</v>
      </c>
      <c r="I198" s="87">
        <f t="shared" si="18"/>
        <v>-0.42153663601305252</v>
      </c>
    </row>
    <row r="199" spans="1:9" ht="37" customHeight="1" x14ac:dyDescent="0.2">
      <c r="A199" s="86">
        <v>2970</v>
      </c>
      <c r="B199" s="84" t="s">
        <v>845</v>
      </c>
      <c r="C199" s="85">
        <v>29</v>
      </c>
      <c r="D199" s="69">
        <f>'Master Item List'!M90</f>
        <v>12.15</v>
      </c>
      <c r="E199" s="69" cm="1">
        <f t="array" ref="E199:G199">'Master Item List'!T90:V90</f>
        <v>15.75</v>
      </c>
      <c r="F199" s="69">
        <v>16.5</v>
      </c>
      <c r="G199" s="69">
        <v>17</v>
      </c>
      <c r="H199" s="69">
        <f t="shared" si="17"/>
        <v>16.850000000000001</v>
      </c>
      <c r="I199" s="87">
        <f t="shared" si="18"/>
        <v>1.3868312757201646</v>
      </c>
    </row>
    <row r="200" spans="1:9" ht="37" customHeight="1" x14ac:dyDescent="0.2">
      <c r="A200" s="86">
        <v>3123</v>
      </c>
      <c r="B200" s="84" t="s">
        <v>846</v>
      </c>
      <c r="C200" s="85">
        <v>21</v>
      </c>
      <c r="D200" s="69">
        <f>'Master Item List'!M89</f>
        <v>28.794655172413794</v>
      </c>
      <c r="E200" s="69" cm="1">
        <f t="array" ref="E200:G200">'Master Item List'!T89:V89</f>
        <v>37.5</v>
      </c>
      <c r="F200" s="69">
        <v>38.75</v>
      </c>
      <c r="G200" s="69">
        <v>40.25</v>
      </c>
      <c r="H200" s="69">
        <f t="shared" si="17"/>
        <v>-7.794655172413794</v>
      </c>
      <c r="I200" s="87">
        <f t="shared" si="18"/>
        <v>-0.27069798633606573</v>
      </c>
    </row>
    <row r="201" spans="1:9" ht="37" customHeight="1" x14ac:dyDescent="0.2">
      <c r="A201" s="83">
        <v>539</v>
      </c>
      <c r="B201" s="84" t="s">
        <v>847</v>
      </c>
      <c r="C201" s="85">
        <v>29</v>
      </c>
      <c r="D201" s="69">
        <f>'Master Item List'!M90</f>
        <v>12.15</v>
      </c>
      <c r="E201" s="69" cm="1">
        <f t="array" ref="E201:G201">'Master Item List'!T90:V90</f>
        <v>15.75</v>
      </c>
      <c r="F201" s="69">
        <v>16.5</v>
      </c>
      <c r="G201" s="69">
        <v>17</v>
      </c>
      <c r="H201" s="69">
        <f t="shared" si="17"/>
        <v>16.850000000000001</v>
      </c>
      <c r="I201" s="87">
        <f t="shared" si="18"/>
        <v>1.3868312757201646</v>
      </c>
    </row>
    <row r="202" spans="1:9" ht="37" customHeight="1" x14ac:dyDescent="0.2">
      <c r="A202" s="86">
        <v>4734</v>
      </c>
      <c r="B202" s="84" t="s">
        <v>848</v>
      </c>
      <c r="C202" s="85">
        <v>21</v>
      </c>
      <c r="D202" s="69">
        <f>'Master Item List'!M91</f>
        <v>16.855</v>
      </c>
      <c r="E202" s="69" cm="1">
        <f t="array" ref="E202:G202">'Master Item List'!T91:V91</f>
        <v>22</v>
      </c>
      <c r="F202" s="69">
        <v>22.75</v>
      </c>
      <c r="G202" s="69">
        <v>23.5</v>
      </c>
      <c r="H202" s="69">
        <f t="shared" si="17"/>
        <v>4.1449999999999996</v>
      </c>
      <c r="I202" s="87">
        <f t="shared" si="18"/>
        <v>0.24592109166419457</v>
      </c>
    </row>
    <row r="203" spans="1:9" ht="37" customHeight="1" x14ac:dyDescent="0.2">
      <c r="A203" s="83">
        <v>541</v>
      </c>
      <c r="B203" s="84" t="s">
        <v>849</v>
      </c>
      <c r="C203" s="85">
        <v>21</v>
      </c>
      <c r="D203" s="69">
        <f>'Master Item List'!M95+1</f>
        <v>13.15</v>
      </c>
      <c r="E203" s="69" cm="1">
        <f t="array" ref="E203:G203">'Master Item List'!T95:V95+1</f>
        <v>16.75</v>
      </c>
      <c r="F203" s="69">
        <v>17.5</v>
      </c>
      <c r="G203" s="69">
        <v>18</v>
      </c>
      <c r="H203" s="69">
        <f t="shared" si="17"/>
        <v>7.85</v>
      </c>
      <c r="I203" s="87">
        <f t="shared" si="18"/>
        <v>0.59695817490494296</v>
      </c>
    </row>
    <row r="204" spans="1:9" ht="37" customHeight="1" x14ac:dyDescent="0.2">
      <c r="A204" s="83">
        <v>148</v>
      </c>
      <c r="B204" s="84" t="s">
        <v>850</v>
      </c>
      <c r="C204" s="85">
        <v>21</v>
      </c>
      <c r="D204" s="69">
        <f>'Master Item List'!M95</f>
        <v>12.15</v>
      </c>
      <c r="E204" s="69" cm="1">
        <f t="array" ref="E204:G204">'Master Item List'!T95:V95</f>
        <v>15.75</v>
      </c>
      <c r="F204" s="69">
        <v>16.5</v>
      </c>
      <c r="G204" s="69">
        <v>17</v>
      </c>
      <c r="H204" s="69">
        <f t="shared" si="17"/>
        <v>8.85</v>
      </c>
      <c r="I204" s="87">
        <f t="shared" si="18"/>
        <v>0.72839506172839497</v>
      </c>
    </row>
    <row r="205" spans="1:9" ht="37" customHeight="1" x14ac:dyDescent="0.2">
      <c r="A205" s="83">
        <v>145</v>
      </c>
      <c r="B205" s="84" t="s">
        <v>851</v>
      </c>
      <c r="C205" s="85">
        <v>28</v>
      </c>
      <c r="D205" s="69">
        <f>'Master Item List'!M93</f>
        <v>16.855</v>
      </c>
      <c r="E205" s="69" cm="1">
        <f t="array" ref="E205:G205">'Master Item List'!T93:V93</f>
        <v>22</v>
      </c>
      <c r="F205" s="69">
        <v>22.75</v>
      </c>
      <c r="G205" s="69">
        <v>23.5</v>
      </c>
      <c r="H205" s="69">
        <f t="shared" si="17"/>
        <v>11.145</v>
      </c>
      <c r="I205" s="87">
        <f t="shared" si="18"/>
        <v>0.66122812221892613</v>
      </c>
    </row>
    <row r="206" spans="1:9" ht="37" customHeight="1" x14ac:dyDescent="0.2">
      <c r="A206" s="86">
        <v>1417</v>
      </c>
      <c r="B206" s="84" t="s">
        <v>852</v>
      </c>
      <c r="C206" s="85">
        <v>55.75</v>
      </c>
      <c r="D206" s="69">
        <f>'Master Item List'!M193</f>
        <v>45.19166666666667</v>
      </c>
      <c r="E206" s="69" cm="1">
        <f t="array" ref="E206:G206">'Master Item List'!T193:V193</f>
        <v>58.75</v>
      </c>
      <c r="F206" s="69">
        <v>61</v>
      </c>
      <c r="G206" s="69">
        <v>63.25</v>
      </c>
      <c r="H206" s="69">
        <f t="shared" si="17"/>
        <v>10.55833333333333</v>
      </c>
      <c r="I206" s="87">
        <f t="shared" si="18"/>
        <v>0.23363451963857634</v>
      </c>
    </row>
    <row r="207" spans="1:9" ht="37" customHeight="1" x14ac:dyDescent="0.2">
      <c r="A207" s="86">
        <v>1180</v>
      </c>
      <c r="B207" s="84" t="s">
        <v>853</v>
      </c>
      <c r="C207" s="85">
        <v>40.25</v>
      </c>
      <c r="D207" s="69">
        <f>'Master Item List'!M282</f>
        <v>10.725</v>
      </c>
      <c r="E207" s="69" cm="1">
        <f t="array" ref="E207:G207">'Master Item List'!T282:V282</f>
        <v>14</v>
      </c>
      <c r="F207" s="69">
        <v>14.5</v>
      </c>
      <c r="G207" s="69">
        <v>15</v>
      </c>
      <c r="H207" s="69">
        <f t="shared" si="17"/>
        <v>29.524999999999999</v>
      </c>
      <c r="I207" s="87">
        <f t="shared" si="18"/>
        <v>2.7529137529137531</v>
      </c>
    </row>
    <row r="208" spans="1:9" ht="37" customHeight="1" x14ac:dyDescent="0.2">
      <c r="A208" s="86">
        <v>1242</v>
      </c>
      <c r="B208" s="84" t="s">
        <v>854</v>
      </c>
      <c r="C208" s="85">
        <v>26.25</v>
      </c>
      <c r="D208" s="69">
        <f>'Master Item List'!M99</f>
        <v>20.798333333333332</v>
      </c>
      <c r="E208" s="69" cm="1">
        <f t="array" ref="E208:G208">'Master Item List'!T99:V99</f>
        <v>27</v>
      </c>
      <c r="F208" s="69">
        <v>28</v>
      </c>
      <c r="G208" s="69">
        <v>29</v>
      </c>
      <c r="H208" s="69">
        <f t="shared" si="17"/>
        <v>5.451666666666668</v>
      </c>
      <c r="I208" s="87">
        <f t="shared" si="18"/>
        <v>0.26212036220851037</v>
      </c>
    </row>
    <row r="209" spans="1:9" s="71" customFormat="1" ht="37" hidden="1" customHeight="1" x14ac:dyDescent="0.2">
      <c r="A209" s="76">
        <v>3323</v>
      </c>
      <c r="B209" s="73" t="s">
        <v>855</v>
      </c>
      <c r="C209" s="74">
        <f>C207+15</f>
        <v>55.25</v>
      </c>
      <c r="D209" s="69">
        <f>D207+'Raw Cost'!F3</f>
        <v>14.225</v>
      </c>
      <c r="E209" s="69"/>
      <c r="F209" s="69"/>
      <c r="G209" s="69"/>
      <c r="H209" s="68">
        <f t="shared" si="17"/>
        <v>41.024999999999999</v>
      </c>
      <c r="I209" s="70">
        <f t="shared" si="18"/>
        <v>2.8840070298769773</v>
      </c>
    </row>
    <row r="210" spans="1:9" ht="37" customHeight="1" x14ac:dyDescent="0.2">
      <c r="A210" s="86">
        <v>4681</v>
      </c>
      <c r="B210" s="84" t="s">
        <v>856</v>
      </c>
      <c r="C210" s="85">
        <v>28</v>
      </c>
      <c r="D210" s="69"/>
      <c r="E210" s="69"/>
      <c r="F210" s="69"/>
      <c r="G210" s="69"/>
      <c r="H210" s="69">
        <f t="shared" si="17"/>
        <v>28</v>
      </c>
      <c r="I210" s="87">
        <v>0</v>
      </c>
    </row>
    <row r="211" spans="1:9" ht="37" customHeight="1" x14ac:dyDescent="0.2">
      <c r="A211" s="86">
        <v>2990</v>
      </c>
      <c r="B211" s="84" t="s">
        <v>857</v>
      </c>
      <c r="C211" s="85">
        <v>42.25</v>
      </c>
      <c r="D211" s="69">
        <f>'Master Item List'!M283</f>
        <v>25.108561643835618</v>
      </c>
      <c r="E211" s="69" cm="1">
        <f t="array" ref="E211:G211">'Master Item List'!T283:V283</f>
        <v>32.75</v>
      </c>
      <c r="F211" s="69">
        <v>34</v>
      </c>
      <c r="G211" s="69">
        <v>35.25</v>
      </c>
      <c r="H211" s="69">
        <f t="shared" si="17"/>
        <v>17.141438356164382</v>
      </c>
      <c r="I211" s="87">
        <f t="shared" si="18"/>
        <v>0.68269296343276453</v>
      </c>
    </row>
    <row r="212" spans="1:9" s="71" customFormat="1" ht="37" hidden="1" customHeight="1" x14ac:dyDescent="0.2">
      <c r="A212" s="76">
        <v>3324</v>
      </c>
      <c r="B212" s="73" t="s">
        <v>858</v>
      </c>
      <c r="C212" s="74">
        <f>C211+15</f>
        <v>57.25</v>
      </c>
      <c r="D212" s="69">
        <f>D211+'Raw Cost'!F3</f>
        <v>28.608561643835618</v>
      </c>
      <c r="E212" s="69"/>
      <c r="F212" s="69"/>
      <c r="G212" s="69"/>
      <c r="H212" s="68">
        <f t="shared" si="17"/>
        <v>28.641438356164382</v>
      </c>
      <c r="I212" s="70">
        <f t="shared" si="18"/>
        <v>1.0011491913762762</v>
      </c>
    </row>
    <row r="213" spans="1:9" ht="37" customHeight="1" x14ac:dyDescent="0.2">
      <c r="A213" s="86">
        <v>3209</v>
      </c>
      <c r="B213" s="84" t="s">
        <v>859</v>
      </c>
      <c r="C213" s="85">
        <v>38.25</v>
      </c>
      <c r="D213" s="69">
        <f>'Master Item List'!M102</f>
        <v>26.774999999999999</v>
      </c>
      <c r="E213" s="69" cm="1">
        <f t="array" ref="E213:G213">'Master Item List'!T102:V102</f>
        <v>34.75</v>
      </c>
      <c r="F213" s="69">
        <v>36.25</v>
      </c>
      <c r="G213" s="69">
        <v>37.5</v>
      </c>
      <c r="H213" s="69">
        <f t="shared" si="17"/>
        <v>11.475000000000001</v>
      </c>
      <c r="I213" s="87">
        <f t="shared" si="18"/>
        <v>0.42857142857142866</v>
      </c>
    </row>
    <row r="214" spans="1:9" ht="37" customHeight="1" x14ac:dyDescent="0.2">
      <c r="A214" s="86">
        <v>3158</v>
      </c>
      <c r="B214" s="84" t="s">
        <v>860</v>
      </c>
      <c r="C214" s="85">
        <v>35.25</v>
      </c>
      <c r="D214" s="69">
        <f>'Master Item List'!M284</f>
        <v>78.780555555555551</v>
      </c>
      <c r="E214" s="69" t="e" cm="1">
        <f t="array" ref="E214">'Master Item List'!#REF!</f>
        <v>#REF!</v>
      </c>
      <c r="F214" s="69"/>
      <c r="G214" s="69"/>
      <c r="H214" s="69">
        <f t="shared" si="17"/>
        <v>-43.530555555555551</v>
      </c>
      <c r="I214" s="87">
        <f t="shared" si="18"/>
        <v>-0.5525545643665597</v>
      </c>
    </row>
    <row r="215" spans="1:9" s="71" customFormat="1" ht="37" hidden="1" customHeight="1" x14ac:dyDescent="0.2">
      <c r="A215" s="76">
        <v>3325</v>
      </c>
      <c r="B215" s="73" t="s">
        <v>861</v>
      </c>
      <c r="C215" s="74">
        <f>C214+15</f>
        <v>50.25</v>
      </c>
      <c r="D215" s="69"/>
      <c r="E215" s="69"/>
      <c r="F215" s="69"/>
      <c r="G215" s="69"/>
      <c r="H215" s="68">
        <f t="shared" si="17"/>
        <v>50.25</v>
      </c>
      <c r="I215" s="70" t="e">
        <f t="shared" si="18"/>
        <v>#DIV/0!</v>
      </c>
    </row>
    <row r="216" spans="1:9" s="71" customFormat="1" ht="37" hidden="1" customHeight="1" x14ac:dyDescent="0.2">
      <c r="A216" s="76">
        <v>3326</v>
      </c>
      <c r="B216" s="73" t="s">
        <v>862</v>
      </c>
      <c r="C216" s="74">
        <f>C214+15</f>
        <v>50.25</v>
      </c>
      <c r="D216" s="69"/>
      <c r="E216" s="69"/>
      <c r="F216" s="69"/>
      <c r="G216" s="69"/>
      <c r="H216" s="68">
        <f t="shared" si="17"/>
        <v>50.25</v>
      </c>
      <c r="I216" s="70" t="e">
        <f t="shared" si="18"/>
        <v>#DIV/0!</v>
      </c>
    </row>
    <row r="217" spans="1:9" ht="37" customHeight="1" x14ac:dyDescent="0.2">
      <c r="A217" s="86">
        <v>2113</v>
      </c>
      <c r="B217" s="84" t="s">
        <v>863</v>
      </c>
      <c r="C217" s="85">
        <v>38.25</v>
      </c>
      <c r="D217" s="69">
        <f>'Master Item List'!M101</f>
        <v>27.95</v>
      </c>
      <c r="E217" s="69" cm="1">
        <f t="array" ref="E217:G217">'Master Item List'!T101:V101</f>
        <v>36.25</v>
      </c>
      <c r="F217" s="69">
        <v>37.75</v>
      </c>
      <c r="G217" s="69">
        <v>39.25</v>
      </c>
      <c r="H217" s="69">
        <f t="shared" si="17"/>
        <v>10.3</v>
      </c>
      <c r="I217" s="87">
        <f t="shared" si="18"/>
        <v>0.36851520572450808</v>
      </c>
    </row>
    <row r="218" spans="1:9" ht="37" customHeight="1" x14ac:dyDescent="0.2">
      <c r="A218" s="86">
        <v>2049</v>
      </c>
      <c r="B218" s="84" t="s">
        <v>864</v>
      </c>
      <c r="C218" s="85">
        <v>31.25</v>
      </c>
      <c r="D218" s="69">
        <f>'Master Item List'!M290</f>
        <v>53.075000000000003</v>
      </c>
      <c r="E218" s="69" cm="1">
        <f t="array" ref="E218:G218">'Master Item List'!T290:V290</f>
        <v>85</v>
      </c>
      <c r="F218" s="69">
        <v>87.75</v>
      </c>
      <c r="G218" s="69">
        <v>90.25</v>
      </c>
      <c r="H218" s="69">
        <f t="shared" si="17"/>
        <v>-21.825000000000003</v>
      </c>
      <c r="I218" s="87">
        <f t="shared" si="18"/>
        <v>-0.41121055110692417</v>
      </c>
    </row>
    <row r="219" spans="1:9" s="71" customFormat="1" ht="37" hidden="1" customHeight="1" x14ac:dyDescent="0.2">
      <c r="A219" s="76">
        <v>3327</v>
      </c>
      <c r="B219" s="73" t="s">
        <v>865</v>
      </c>
      <c r="C219" s="74">
        <f>C218+15</f>
        <v>46.25</v>
      </c>
      <c r="D219" s="69">
        <f>D218+'Raw Cost'!F3</f>
        <v>56.575000000000003</v>
      </c>
      <c r="E219" s="69"/>
      <c r="F219" s="69"/>
      <c r="G219" s="69"/>
      <c r="H219" s="68">
        <f t="shared" ref="H219:H282" si="19">C219-D219</f>
        <v>-10.325000000000003</v>
      </c>
      <c r="I219" s="70">
        <f t="shared" ref="I219:I282" si="20">H219/D219</f>
        <v>-0.18250110472823688</v>
      </c>
    </row>
    <row r="220" spans="1:9" ht="37" customHeight="1" x14ac:dyDescent="0.2">
      <c r="A220" s="86">
        <v>4727</v>
      </c>
      <c r="B220" s="84" t="s">
        <v>866</v>
      </c>
      <c r="C220" s="85">
        <v>30.75</v>
      </c>
      <c r="D220" s="69">
        <f>'Master Item List'!M218</f>
        <v>16.584375000000001</v>
      </c>
      <c r="E220" s="69" t="e" cm="1">
        <f t="array" ref="E220:G220">'Combo Pricing'!L17:N17</f>
        <v>#N/A</v>
      </c>
      <c r="F220" s="69" t="e">
        <v>#N/A</v>
      </c>
      <c r="G220" s="69" t="e">
        <v>#N/A</v>
      </c>
      <c r="H220" s="69">
        <f t="shared" si="19"/>
        <v>14.165624999999999</v>
      </c>
      <c r="I220" s="87">
        <f t="shared" si="20"/>
        <v>0.85415488976823051</v>
      </c>
    </row>
    <row r="221" spans="1:9" s="71" customFormat="1" ht="37" hidden="1" customHeight="1" x14ac:dyDescent="0.2">
      <c r="A221" s="76">
        <v>3282</v>
      </c>
      <c r="B221" s="73" t="s">
        <v>867</v>
      </c>
      <c r="C221" s="74">
        <f>C220+15</f>
        <v>45.75</v>
      </c>
      <c r="D221" s="69">
        <f>D220+'Raw Cost'!F1</f>
        <v>25.784375000000001</v>
      </c>
      <c r="E221" s="69"/>
      <c r="F221" s="69"/>
      <c r="G221" s="69"/>
      <c r="H221" s="68">
        <f t="shared" si="19"/>
        <v>19.965624999999999</v>
      </c>
      <c r="I221" s="70">
        <f t="shared" si="20"/>
        <v>0.77433038419585498</v>
      </c>
    </row>
    <row r="222" spans="1:9" s="71" customFormat="1" ht="37" hidden="1" customHeight="1" x14ac:dyDescent="0.2">
      <c r="A222" s="76">
        <v>3283</v>
      </c>
      <c r="B222" s="73" t="s">
        <v>868</v>
      </c>
      <c r="C222" s="74">
        <f>C220+15</f>
        <v>45.75</v>
      </c>
      <c r="D222" s="69">
        <f>D220+'Raw Cost'!F3</f>
        <v>20.084375000000001</v>
      </c>
      <c r="E222" s="69"/>
      <c r="F222" s="69"/>
      <c r="G222" s="69"/>
      <c r="H222" s="68">
        <f t="shared" si="19"/>
        <v>25.665624999999999</v>
      </c>
      <c r="I222" s="70">
        <f t="shared" si="20"/>
        <v>1.2778901509257816</v>
      </c>
    </row>
    <row r="223" spans="1:9" ht="37" customHeight="1" x14ac:dyDescent="0.2">
      <c r="A223" s="86">
        <v>3302</v>
      </c>
      <c r="B223" s="84" t="s">
        <v>869</v>
      </c>
      <c r="C223" s="85">
        <v>30.25</v>
      </c>
      <c r="D223" s="69">
        <f>'Combo Pricing'!F21</f>
        <v>18.68328125</v>
      </c>
      <c r="E223" s="69" cm="1">
        <f t="array" ref="E223:G223">'Combo Pricing'!L21:N21</f>
        <v>26.5</v>
      </c>
      <c r="F223" s="69">
        <v>27.5</v>
      </c>
      <c r="G223" s="69">
        <v>28.5</v>
      </c>
      <c r="H223" s="69">
        <f t="shared" si="19"/>
        <v>11.56671875</v>
      </c>
      <c r="I223" s="87">
        <f t="shared" si="20"/>
        <v>0.61909461165982282</v>
      </c>
    </row>
    <row r="224" spans="1:9" s="71" customFormat="1" ht="37" hidden="1" customHeight="1" x14ac:dyDescent="0.2">
      <c r="A224" s="76">
        <v>3303</v>
      </c>
      <c r="B224" s="73" t="s">
        <v>870</v>
      </c>
      <c r="C224" s="74">
        <f>C223+15</f>
        <v>45.25</v>
      </c>
      <c r="D224" s="69">
        <f>D223+'Raw Cost'!F1</f>
        <v>27.88328125</v>
      </c>
      <c r="E224" s="69"/>
      <c r="F224" s="69"/>
      <c r="G224" s="69"/>
      <c r="H224" s="68">
        <f t="shared" si="19"/>
        <v>17.36671875</v>
      </c>
      <c r="I224" s="70">
        <f t="shared" si="20"/>
        <v>0.62283626501095524</v>
      </c>
    </row>
    <row r="225" spans="1:9" s="71" customFormat="1" ht="37" hidden="1" customHeight="1" x14ac:dyDescent="0.2">
      <c r="A225" s="76">
        <v>3304</v>
      </c>
      <c r="B225" s="73" t="s">
        <v>871</v>
      </c>
      <c r="C225" s="74">
        <f>C223+15</f>
        <v>45.25</v>
      </c>
      <c r="D225" s="69">
        <f>D223+'Raw Cost'!F3</f>
        <v>22.18328125</v>
      </c>
      <c r="E225" s="69"/>
      <c r="F225" s="69"/>
      <c r="G225" s="69"/>
      <c r="H225" s="68">
        <f t="shared" si="19"/>
        <v>23.06671875</v>
      </c>
      <c r="I225" s="70">
        <f t="shared" si="20"/>
        <v>1.0398244736675284</v>
      </c>
    </row>
    <row r="226" spans="1:9" s="71" customFormat="1" ht="37" hidden="1" customHeight="1" x14ac:dyDescent="0.2">
      <c r="A226" s="76">
        <v>3328</v>
      </c>
      <c r="B226" s="73" t="s">
        <v>872</v>
      </c>
      <c r="C226" s="74">
        <f>C227+15</f>
        <v>49.75</v>
      </c>
      <c r="D226" s="69">
        <f>D227+'Raw Cost'!F3</f>
        <v>76.327777777777783</v>
      </c>
      <c r="E226" s="69"/>
      <c r="F226" s="69"/>
      <c r="G226" s="69"/>
      <c r="H226" s="68">
        <f t="shared" si="19"/>
        <v>-26.577777777777783</v>
      </c>
      <c r="I226" s="70">
        <f t="shared" si="20"/>
        <v>-0.34820583739719052</v>
      </c>
    </row>
    <row r="227" spans="1:9" ht="37" customHeight="1" x14ac:dyDescent="0.2">
      <c r="A227" s="86">
        <v>1422</v>
      </c>
      <c r="B227" s="84" t="s">
        <v>873</v>
      </c>
      <c r="C227" s="85">
        <v>34.75</v>
      </c>
      <c r="D227" s="69">
        <f>'Combo Pricing'!F32</f>
        <v>72.827777777777783</v>
      </c>
      <c r="E227" s="69" cm="1">
        <f t="array" ref="E227:G227">'Combo Pricing'!L32:N32</f>
        <v>97</v>
      </c>
      <c r="F227" s="69">
        <v>100.5</v>
      </c>
      <c r="G227" s="69">
        <v>104.25</v>
      </c>
      <c r="H227" s="69">
        <f t="shared" si="19"/>
        <v>-38.077777777777783</v>
      </c>
      <c r="I227" s="87">
        <f t="shared" si="20"/>
        <v>-0.52284689907697002</v>
      </c>
    </row>
    <row r="228" spans="1:9" s="71" customFormat="1" ht="37" hidden="1" customHeight="1" x14ac:dyDescent="0.2">
      <c r="A228" s="76">
        <v>3329</v>
      </c>
      <c r="B228" s="73" t="s">
        <v>874</v>
      </c>
      <c r="C228" s="74">
        <f>C239+15</f>
        <v>70.75</v>
      </c>
      <c r="D228" s="69"/>
      <c r="E228" s="69"/>
      <c r="F228" s="69"/>
      <c r="G228" s="69"/>
      <c r="H228" s="68">
        <f t="shared" si="19"/>
        <v>70.75</v>
      </c>
      <c r="I228" s="70" t="e">
        <f t="shared" si="20"/>
        <v>#DIV/0!</v>
      </c>
    </row>
    <row r="229" spans="1:9" s="71" customFormat="1" ht="37" hidden="1" customHeight="1" x14ac:dyDescent="0.2">
      <c r="A229" s="76">
        <v>3330</v>
      </c>
      <c r="B229" s="73" t="s">
        <v>875</v>
      </c>
      <c r="C229" s="74">
        <f>C239+15</f>
        <v>70.75</v>
      </c>
      <c r="D229" s="69"/>
      <c r="E229" s="69"/>
      <c r="F229" s="69"/>
      <c r="G229" s="69"/>
      <c r="H229" s="68">
        <f t="shared" si="19"/>
        <v>70.75</v>
      </c>
      <c r="I229" s="70" t="e">
        <f t="shared" si="20"/>
        <v>#DIV/0!</v>
      </c>
    </row>
    <row r="230" spans="1:9" ht="37" customHeight="1" x14ac:dyDescent="0.2">
      <c r="A230" s="83">
        <v>184</v>
      </c>
      <c r="B230" s="84" t="s">
        <v>876</v>
      </c>
      <c r="C230" s="85">
        <v>46.5</v>
      </c>
      <c r="D230" s="69">
        <f>'Master Item List'!M106</f>
        <v>16.079411764705885</v>
      </c>
      <c r="E230" s="69" cm="1">
        <f t="array" ref="E230:G230">'Master Item List'!T106:V106</f>
        <v>21</v>
      </c>
      <c r="F230" s="69">
        <v>21.75</v>
      </c>
      <c r="G230" s="69">
        <v>22.5</v>
      </c>
      <c r="H230" s="69">
        <f t="shared" si="19"/>
        <v>30.420588235294115</v>
      </c>
      <c r="I230" s="87">
        <f t="shared" si="20"/>
        <v>1.8918968355588071</v>
      </c>
    </row>
    <row r="231" spans="1:9" ht="37" customHeight="1" x14ac:dyDescent="0.2">
      <c r="A231" s="83">
        <v>506</v>
      </c>
      <c r="B231" s="84" t="s">
        <v>877</v>
      </c>
      <c r="C231" s="85">
        <v>47.5</v>
      </c>
      <c r="D231" s="69">
        <f>'Master Item List'!M105</f>
        <v>37.623823529411766</v>
      </c>
      <c r="E231" s="69" cm="1">
        <f t="array" ref="E231:G231">'Master Item List'!T105:V105</f>
        <v>49</v>
      </c>
      <c r="F231" s="69">
        <v>50.75</v>
      </c>
      <c r="G231" s="69">
        <v>52.75</v>
      </c>
      <c r="H231" s="69">
        <f t="shared" si="19"/>
        <v>9.8761764705882342</v>
      </c>
      <c r="I231" s="87">
        <f t="shared" si="20"/>
        <v>0.26249794795225173</v>
      </c>
    </row>
    <row r="232" spans="1:9" ht="37" customHeight="1" x14ac:dyDescent="0.2">
      <c r="A232" s="86">
        <v>1273</v>
      </c>
      <c r="B232" s="84" t="s">
        <v>878</v>
      </c>
      <c r="C232" s="85">
        <v>47.5</v>
      </c>
      <c r="D232" s="69">
        <f>'Master Item List'!M105</f>
        <v>37.623823529411766</v>
      </c>
      <c r="E232" s="69" cm="1">
        <f t="array" ref="E232:G232">'Master Item List'!T105:V105</f>
        <v>49</v>
      </c>
      <c r="F232" s="69">
        <v>50.75</v>
      </c>
      <c r="G232" s="69">
        <v>52.75</v>
      </c>
      <c r="H232" s="69">
        <f t="shared" si="19"/>
        <v>9.8761764705882342</v>
      </c>
      <c r="I232" s="87">
        <f t="shared" si="20"/>
        <v>0.26249794795225173</v>
      </c>
    </row>
    <row r="233" spans="1:9" ht="37" customHeight="1" x14ac:dyDescent="0.2">
      <c r="A233" s="86">
        <v>2934</v>
      </c>
      <c r="B233" s="84" t="s">
        <v>879</v>
      </c>
      <c r="C233" s="85">
        <v>35.5</v>
      </c>
      <c r="D233" s="69">
        <f>'Master Item List'!M67</f>
        <v>30.069999999999997</v>
      </c>
      <c r="E233" s="69" cm="1">
        <f t="array" ref="E233:G233">'Master Item List'!T67:V67</f>
        <v>39</v>
      </c>
      <c r="F233" s="69">
        <v>40.5</v>
      </c>
      <c r="G233" s="69">
        <v>42</v>
      </c>
      <c r="H233" s="69">
        <f t="shared" si="19"/>
        <v>5.4300000000000033</v>
      </c>
      <c r="I233" s="87">
        <f t="shared" si="20"/>
        <v>0.18057864981709357</v>
      </c>
    </row>
    <row r="234" spans="1:9" ht="37" customHeight="1" x14ac:dyDescent="0.2">
      <c r="A234" s="86">
        <v>3159</v>
      </c>
      <c r="B234" s="84" t="s">
        <v>880</v>
      </c>
      <c r="C234" s="85">
        <v>65.25</v>
      </c>
      <c r="D234" s="69">
        <f>'Master Item List'!M329</f>
        <v>60.725000000000001</v>
      </c>
      <c r="E234" s="69" cm="1">
        <f t="array" ref="E234:G234">'Master Item List'!T329:V329</f>
        <v>79</v>
      </c>
      <c r="F234" s="69">
        <v>82</v>
      </c>
      <c r="G234" s="69">
        <v>85</v>
      </c>
      <c r="H234" s="69">
        <f t="shared" si="19"/>
        <v>4.5249999999999986</v>
      </c>
      <c r="I234" s="87">
        <f t="shared" si="20"/>
        <v>7.4516261836146541E-2</v>
      </c>
    </row>
    <row r="235" spans="1:9" ht="37" customHeight="1" x14ac:dyDescent="0.2">
      <c r="A235" s="83">
        <v>608</v>
      </c>
      <c r="B235" s="84" t="s">
        <v>881</v>
      </c>
      <c r="C235" s="85">
        <v>47.5</v>
      </c>
      <c r="D235" s="69">
        <f>'Master Item List'!M113</f>
        <v>38.094999999999999</v>
      </c>
      <c r="E235" s="69" cm="1">
        <f t="array" ref="E235:G235">'Master Item List'!T113:V113</f>
        <v>49.5</v>
      </c>
      <c r="F235" s="69">
        <v>51.5</v>
      </c>
      <c r="G235" s="69">
        <v>53.25</v>
      </c>
      <c r="H235" s="69">
        <f t="shared" si="19"/>
        <v>9.4050000000000011</v>
      </c>
      <c r="I235" s="87">
        <f t="shared" si="20"/>
        <v>0.24688279301745639</v>
      </c>
    </row>
    <row r="236" spans="1:9" ht="37" customHeight="1" x14ac:dyDescent="0.2">
      <c r="A236" s="83">
        <v>912</v>
      </c>
      <c r="B236" s="84" t="s">
        <v>882</v>
      </c>
      <c r="C236" s="85">
        <v>47.5</v>
      </c>
      <c r="D236" s="69">
        <f>'Master Item List'!M112</f>
        <v>13.049999999999999</v>
      </c>
      <c r="E236" s="69" cm="1">
        <f t="array" ref="E236:G236">'Master Item List'!T112:V112</f>
        <v>17</v>
      </c>
      <c r="F236" s="69">
        <v>17.5</v>
      </c>
      <c r="G236" s="69">
        <v>18.25</v>
      </c>
      <c r="H236" s="69">
        <f t="shared" si="19"/>
        <v>34.450000000000003</v>
      </c>
      <c r="I236" s="87">
        <f t="shared" si="20"/>
        <v>2.6398467432950197</v>
      </c>
    </row>
    <row r="237" spans="1:9" ht="37" customHeight="1" x14ac:dyDescent="0.2">
      <c r="A237" s="86">
        <v>2124</v>
      </c>
      <c r="B237" s="84" t="s">
        <v>883</v>
      </c>
      <c r="C237" s="85">
        <v>47.5</v>
      </c>
      <c r="D237" s="69">
        <f>'Master Item List'!M112</f>
        <v>13.049999999999999</v>
      </c>
      <c r="E237" s="69" cm="1">
        <f t="array" ref="E237:G237">'Master Item List'!T117:V117</f>
        <v>46.25</v>
      </c>
      <c r="F237" s="69">
        <v>48</v>
      </c>
      <c r="G237" s="69">
        <v>49.75</v>
      </c>
      <c r="H237" s="69">
        <f t="shared" si="19"/>
        <v>34.450000000000003</v>
      </c>
      <c r="I237" s="87">
        <f t="shared" si="20"/>
        <v>2.6398467432950197</v>
      </c>
    </row>
    <row r="238" spans="1:9" ht="37" customHeight="1" x14ac:dyDescent="0.2">
      <c r="A238" s="86">
        <v>4715</v>
      </c>
      <c r="B238" s="84" t="s">
        <v>884</v>
      </c>
      <c r="C238" s="85">
        <v>45.5</v>
      </c>
      <c r="D238" s="69">
        <f>'Master Item List'!M117</f>
        <v>35.528333333333329</v>
      </c>
      <c r="E238" s="69" cm="1">
        <f t="array" ref="E238:G238">'Master Item List'!T117:V117</f>
        <v>46.25</v>
      </c>
      <c r="F238" s="69">
        <v>48</v>
      </c>
      <c r="G238" s="69">
        <v>49.75</v>
      </c>
      <c r="H238" s="69">
        <f t="shared" si="19"/>
        <v>9.9716666666666711</v>
      </c>
      <c r="I238" s="87">
        <f t="shared" si="20"/>
        <v>0.28066801144626369</v>
      </c>
    </row>
    <row r="239" spans="1:9" ht="37" customHeight="1" x14ac:dyDescent="0.2">
      <c r="A239" s="86">
        <v>2454</v>
      </c>
      <c r="B239" s="84" t="s">
        <v>885</v>
      </c>
      <c r="C239" s="85">
        <v>55.75</v>
      </c>
      <c r="D239" s="69">
        <f>'Master Item List'!M293</f>
        <v>30.1</v>
      </c>
      <c r="E239" s="69" cm="1">
        <f t="array" ref="E239:G239">'Master Item List'!T293:V293</f>
        <v>39.25</v>
      </c>
      <c r="F239" s="69">
        <v>40.75</v>
      </c>
      <c r="G239" s="69">
        <v>42.25</v>
      </c>
      <c r="H239" s="69">
        <f t="shared" si="19"/>
        <v>25.65</v>
      </c>
      <c r="I239" s="87">
        <f t="shared" si="20"/>
        <v>0.85215946843853807</v>
      </c>
    </row>
    <row r="240" spans="1:9" ht="37" customHeight="1" x14ac:dyDescent="0.2">
      <c r="A240" s="86">
        <v>4745</v>
      </c>
      <c r="B240" s="84" t="s">
        <v>886</v>
      </c>
      <c r="C240" s="85">
        <v>32.5</v>
      </c>
      <c r="D240" s="69">
        <f>'Master Item List'!M118</f>
        <v>35.528333333333329</v>
      </c>
      <c r="E240" s="69" cm="1">
        <f t="array" ref="E240:G240">'Master Item List'!T118:V118</f>
        <v>46.25</v>
      </c>
      <c r="F240" s="69">
        <v>48</v>
      </c>
      <c r="G240" s="69">
        <v>49.75</v>
      </c>
      <c r="H240" s="69">
        <f t="shared" si="19"/>
        <v>-3.0283333333333289</v>
      </c>
      <c r="I240" s="87">
        <f t="shared" si="20"/>
        <v>-8.5237134681240209E-2</v>
      </c>
    </row>
    <row r="241" spans="1:9" ht="37" customHeight="1" x14ac:dyDescent="0.2">
      <c r="A241" s="86">
        <v>2431</v>
      </c>
      <c r="B241" s="84" t="s">
        <v>887</v>
      </c>
      <c r="C241" s="85">
        <v>44.5</v>
      </c>
      <c r="D241" s="69">
        <f>'Master Item List'!M117</f>
        <v>35.528333333333329</v>
      </c>
      <c r="E241" s="69" cm="1">
        <f t="array" ref="E241:G241">'Master Item List'!T117:V117</f>
        <v>46.25</v>
      </c>
      <c r="F241" s="69">
        <v>48</v>
      </c>
      <c r="G241" s="69">
        <v>49.75</v>
      </c>
      <c r="H241" s="69">
        <f t="shared" si="19"/>
        <v>8.9716666666666711</v>
      </c>
      <c r="I241" s="87">
        <f t="shared" si="20"/>
        <v>0.25252146174414802</v>
      </c>
    </row>
    <row r="242" spans="1:9" ht="37" customHeight="1" x14ac:dyDescent="0.2">
      <c r="A242" s="86">
        <v>1274</v>
      </c>
      <c r="B242" s="84" t="s">
        <v>888</v>
      </c>
      <c r="C242" s="85">
        <v>44.5</v>
      </c>
      <c r="D242" s="69">
        <f>'Master Item List'!M116</f>
        <v>35.395000000000003</v>
      </c>
      <c r="E242" s="69" cm="1">
        <f t="array" ref="E242:G242">'Master Item List'!T116:V116</f>
        <v>46</v>
      </c>
      <c r="F242" s="69">
        <v>47.75</v>
      </c>
      <c r="G242" s="69">
        <v>49.5</v>
      </c>
      <c r="H242" s="69">
        <f t="shared" si="19"/>
        <v>9.1049999999999969</v>
      </c>
      <c r="I242" s="87">
        <f t="shared" si="20"/>
        <v>0.25723972312473503</v>
      </c>
    </row>
    <row r="243" spans="1:9" ht="37" customHeight="1" x14ac:dyDescent="0.2">
      <c r="A243" s="86">
        <v>2035</v>
      </c>
      <c r="B243" s="84" t="s">
        <v>889</v>
      </c>
      <c r="C243" s="85">
        <v>44.5</v>
      </c>
      <c r="D243" s="69">
        <f>'Master Item List'!M117</f>
        <v>35.528333333333329</v>
      </c>
      <c r="E243" s="69" cm="1">
        <f t="array" ref="E243:G243">'Master Item List'!T117:V117</f>
        <v>46.25</v>
      </c>
      <c r="F243" s="69">
        <v>48</v>
      </c>
      <c r="G243" s="69">
        <v>49.75</v>
      </c>
      <c r="H243" s="69">
        <f t="shared" si="19"/>
        <v>8.9716666666666711</v>
      </c>
      <c r="I243" s="87">
        <f t="shared" si="20"/>
        <v>0.25252146174414802</v>
      </c>
    </row>
    <row r="244" spans="1:9" ht="37" customHeight="1" x14ac:dyDescent="0.2">
      <c r="A244" s="86">
        <v>2375</v>
      </c>
      <c r="B244" s="84" t="s">
        <v>890</v>
      </c>
      <c r="C244" s="85">
        <v>44.5</v>
      </c>
      <c r="D244" s="69">
        <f>'Master Item List'!M117</f>
        <v>35.528333333333329</v>
      </c>
      <c r="E244" s="69" cm="1">
        <f t="array" ref="E244:G244">'Master Item List'!T117:V117</f>
        <v>46.25</v>
      </c>
      <c r="F244" s="69">
        <v>48</v>
      </c>
      <c r="G244" s="69">
        <v>49.75</v>
      </c>
      <c r="H244" s="69">
        <f t="shared" si="19"/>
        <v>8.9716666666666711</v>
      </c>
      <c r="I244" s="87">
        <f t="shared" si="20"/>
        <v>0.25252146174414802</v>
      </c>
    </row>
    <row r="245" spans="1:9" ht="37" customHeight="1" x14ac:dyDescent="0.2">
      <c r="A245" s="86">
        <v>1026</v>
      </c>
      <c r="B245" s="84" t="s">
        <v>891</v>
      </c>
      <c r="C245" s="85">
        <v>46.5</v>
      </c>
      <c r="D245" s="69">
        <f>'Master Item List'!M114</f>
        <v>20.061666666666664</v>
      </c>
      <c r="E245" s="69" cm="1">
        <f t="array" ref="E245:G245">'Master Item List'!T114:V114</f>
        <v>26</v>
      </c>
      <c r="F245" s="69">
        <v>27</v>
      </c>
      <c r="G245" s="69">
        <v>28</v>
      </c>
      <c r="H245" s="69">
        <f t="shared" si="19"/>
        <v>26.438333333333336</v>
      </c>
      <c r="I245" s="87">
        <f t="shared" si="20"/>
        <v>1.3178532857024179</v>
      </c>
    </row>
    <row r="246" spans="1:9" ht="37" customHeight="1" x14ac:dyDescent="0.2">
      <c r="A246" s="83">
        <v>913</v>
      </c>
      <c r="B246" s="84" t="s">
        <v>892</v>
      </c>
      <c r="C246" s="85">
        <v>45.5</v>
      </c>
      <c r="D246" s="69">
        <f>'Master Item List'!M115</f>
        <v>36.094999999999999</v>
      </c>
      <c r="E246" s="69" cm="1">
        <f t="array" ref="E246:G246">'Master Item List'!T115:V115</f>
        <v>47</v>
      </c>
      <c r="F246" s="69">
        <v>48.75</v>
      </c>
      <c r="G246" s="69">
        <v>50.5</v>
      </c>
      <c r="H246" s="69">
        <f t="shared" si="19"/>
        <v>9.4050000000000011</v>
      </c>
      <c r="I246" s="87">
        <f t="shared" si="20"/>
        <v>0.26056240476520298</v>
      </c>
    </row>
    <row r="247" spans="1:9" ht="37" customHeight="1" x14ac:dyDescent="0.2">
      <c r="A247" s="86">
        <v>1178</v>
      </c>
      <c r="B247" s="84" t="s">
        <v>893</v>
      </c>
      <c r="C247" s="85">
        <v>35.5</v>
      </c>
      <c r="D247" s="69">
        <f>'Master Item List'!M119</f>
        <v>31.201666666666668</v>
      </c>
      <c r="E247" s="69" cm="1">
        <f t="array" ref="E247:G247">'Master Item List'!T119:V119</f>
        <v>40.5</v>
      </c>
      <c r="F247" s="69">
        <v>42</v>
      </c>
      <c r="G247" s="69">
        <v>43.75</v>
      </c>
      <c r="H247" s="69">
        <f t="shared" si="19"/>
        <v>4.298333333333332</v>
      </c>
      <c r="I247" s="87">
        <f t="shared" si="20"/>
        <v>0.13775973505688793</v>
      </c>
    </row>
    <row r="248" spans="1:9" ht="37" customHeight="1" x14ac:dyDescent="0.2">
      <c r="A248" s="83">
        <v>990</v>
      </c>
      <c r="B248" s="84" t="s">
        <v>894</v>
      </c>
      <c r="C248" s="85">
        <v>34.5</v>
      </c>
      <c r="D248" s="69">
        <f>'Master Item List'!M295</f>
        <v>20.490625000000001</v>
      </c>
      <c r="E248" s="69" cm="1">
        <f t="array" ref="E248:G248">'Master Item List'!T295:V295</f>
        <v>42.75</v>
      </c>
      <c r="F248" s="69">
        <v>43.75</v>
      </c>
      <c r="G248" s="69">
        <v>44.75</v>
      </c>
      <c r="H248" s="69">
        <f t="shared" si="19"/>
        <v>14.009374999999999</v>
      </c>
      <c r="I248" s="87">
        <f t="shared" si="20"/>
        <v>0.68369681256672243</v>
      </c>
    </row>
    <row r="249" spans="1:9" s="71" customFormat="1" ht="37" hidden="1" customHeight="1" x14ac:dyDescent="0.2">
      <c r="A249" s="76">
        <v>3331</v>
      </c>
      <c r="B249" s="73" t="s">
        <v>895</v>
      </c>
      <c r="C249" s="74">
        <f>C248+15</f>
        <v>49.5</v>
      </c>
      <c r="D249" s="69">
        <f>D248+'Raw Cost'!F3</f>
        <v>23.990625000000001</v>
      </c>
      <c r="E249" s="69"/>
      <c r="F249" s="69"/>
      <c r="G249" s="69"/>
      <c r="H249" s="68">
        <f t="shared" si="19"/>
        <v>25.509374999999999</v>
      </c>
      <c r="I249" s="70">
        <f t="shared" si="20"/>
        <v>1.0633059788980068</v>
      </c>
    </row>
    <row r="250" spans="1:9" ht="37" customHeight="1" x14ac:dyDescent="0.2">
      <c r="A250" s="83">
        <v>976</v>
      </c>
      <c r="B250" s="84" t="s">
        <v>896</v>
      </c>
      <c r="C250" s="85">
        <v>28</v>
      </c>
      <c r="D250" s="69">
        <f>'Master Item List'!M120</f>
        <v>17.635000000000002</v>
      </c>
      <c r="E250" s="69" cm="1">
        <f t="array" ref="E250:G250">'Master Item List'!T120:V120</f>
        <v>23</v>
      </c>
      <c r="F250" s="69">
        <v>23.75</v>
      </c>
      <c r="G250" s="69">
        <v>24.75</v>
      </c>
      <c r="H250" s="69">
        <f t="shared" si="19"/>
        <v>10.364999999999998</v>
      </c>
      <c r="I250" s="87">
        <f t="shared" si="20"/>
        <v>0.58775163028069166</v>
      </c>
    </row>
    <row r="251" spans="1:9" ht="37" customHeight="1" x14ac:dyDescent="0.2">
      <c r="A251" s="83">
        <v>609</v>
      </c>
      <c r="B251" s="84" t="s">
        <v>897</v>
      </c>
      <c r="C251" s="85">
        <v>28</v>
      </c>
      <c r="D251" s="69">
        <f>'Master Item List'!M121</f>
        <v>17.635000000000002</v>
      </c>
      <c r="E251" s="69" cm="1">
        <f t="array" ref="E251:G251">'Master Item List'!T121:V121</f>
        <v>23</v>
      </c>
      <c r="F251" s="69">
        <v>23.75</v>
      </c>
      <c r="G251" s="69">
        <v>24.75</v>
      </c>
      <c r="H251" s="69">
        <f t="shared" si="19"/>
        <v>10.364999999999998</v>
      </c>
      <c r="I251" s="87">
        <f t="shared" si="20"/>
        <v>0.58775163028069166</v>
      </c>
    </row>
    <row r="252" spans="1:9" s="71" customFormat="1" ht="37" hidden="1" customHeight="1" x14ac:dyDescent="0.2">
      <c r="A252" s="76">
        <v>4678</v>
      </c>
      <c r="B252" s="73" t="s">
        <v>898</v>
      </c>
      <c r="C252" s="74">
        <v>999.99</v>
      </c>
      <c r="D252" s="69">
        <f>'Master Item List'!M296</f>
        <v>23.919444444444444</v>
      </c>
      <c r="E252" s="69" cm="1">
        <f t="array" ref="E252:G252">'Master Item List'!T296:V296</f>
        <v>31</v>
      </c>
      <c r="F252" s="69">
        <v>32.25</v>
      </c>
      <c r="G252" s="69">
        <v>33.5</v>
      </c>
      <c r="H252" s="68">
        <f t="shared" si="19"/>
        <v>976.07055555555553</v>
      </c>
      <c r="I252" s="70">
        <f t="shared" si="20"/>
        <v>40.806572988038553</v>
      </c>
    </row>
    <row r="253" spans="1:9" ht="37" customHeight="1" x14ac:dyDescent="0.2">
      <c r="A253" s="86">
        <v>3220</v>
      </c>
      <c r="B253" s="84" t="s">
        <v>899</v>
      </c>
      <c r="C253" s="85">
        <v>28</v>
      </c>
      <c r="D253" s="69">
        <f>'Master Item List'!M120</f>
        <v>17.635000000000002</v>
      </c>
      <c r="E253" s="69" cm="1">
        <f t="array" ref="E253:G253">'Master Item List'!T120:V120</f>
        <v>23</v>
      </c>
      <c r="F253" s="69">
        <v>23.75</v>
      </c>
      <c r="G253" s="69">
        <v>24.75</v>
      </c>
      <c r="H253" s="69">
        <f t="shared" si="19"/>
        <v>10.364999999999998</v>
      </c>
      <c r="I253" s="87">
        <f t="shared" si="20"/>
        <v>0.58775163028069166</v>
      </c>
    </row>
    <row r="254" spans="1:9" ht="37" customHeight="1" x14ac:dyDescent="0.2">
      <c r="A254" s="86">
        <v>1818</v>
      </c>
      <c r="B254" s="84" t="s">
        <v>900</v>
      </c>
      <c r="C254" s="85">
        <v>28</v>
      </c>
      <c r="D254" s="69">
        <f>'Master Item List'!M121</f>
        <v>17.635000000000002</v>
      </c>
      <c r="E254" s="69" cm="1">
        <f t="array" ref="E254:G254">'Master Item List'!T121:V121</f>
        <v>23</v>
      </c>
      <c r="F254" s="69">
        <v>23.75</v>
      </c>
      <c r="G254" s="69">
        <v>24.75</v>
      </c>
      <c r="H254" s="69">
        <f t="shared" si="19"/>
        <v>10.364999999999998</v>
      </c>
      <c r="I254" s="87">
        <f t="shared" si="20"/>
        <v>0.58775163028069166</v>
      </c>
    </row>
    <row r="255" spans="1:9" s="71" customFormat="1" ht="37" hidden="1" customHeight="1" x14ac:dyDescent="0.2">
      <c r="A255" s="76">
        <v>3334</v>
      </c>
      <c r="B255" s="73" t="s">
        <v>901</v>
      </c>
      <c r="C255" s="74">
        <f>C256+15</f>
        <v>45.25</v>
      </c>
      <c r="D255" s="69">
        <f>D256+'Raw Cost'!F3</f>
        <v>25.089605263157896</v>
      </c>
      <c r="E255" s="69"/>
      <c r="F255" s="69"/>
      <c r="G255" s="69"/>
      <c r="H255" s="68">
        <f t="shared" si="19"/>
        <v>20.160394736842104</v>
      </c>
      <c r="I255" s="70">
        <f t="shared" si="20"/>
        <v>0.8035357481867621</v>
      </c>
    </row>
    <row r="256" spans="1:9" ht="37" customHeight="1" x14ac:dyDescent="0.2">
      <c r="A256" s="86">
        <v>4730</v>
      </c>
      <c r="B256" s="84" t="s">
        <v>902</v>
      </c>
      <c r="C256" s="85">
        <v>30.25</v>
      </c>
      <c r="D256" s="69">
        <f>'Combo Pricing'!F23</f>
        <v>21.589605263157896</v>
      </c>
      <c r="E256" s="69" cm="1">
        <f t="array" ref="E256:G256">'Combo Pricing'!L23:N23</f>
        <v>30.25</v>
      </c>
      <c r="F256" s="69">
        <v>31.5</v>
      </c>
      <c r="G256" s="69">
        <v>32.5</v>
      </c>
      <c r="H256" s="69">
        <f t="shared" si="19"/>
        <v>8.6603947368421039</v>
      </c>
      <c r="I256" s="87">
        <f t="shared" si="20"/>
        <v>0.40113724319086297</v>
      </c>
    </row>
    <row r="257" spans="1:9" ht="37" customHeight="1" x14ac:dyDescent="0.2">
      <c r="A257" s="90">
        <v>3332</v>
      </c>
      <c r="B257" s="84" t="s">
        <v>903</v>
      </c>
      <c r="C257" s="85">
        <v>38.25</v>
      </c>
      <c r="D257" s="69">
        <f>'Combo Pricing'!F24</f>
        <v>40.243402777777781</v>
      </c>
      <c r="E257" s="69" cm="1">
        <f t="array" ref="E257:G257">'Combo Pricing'!L24:N24</f>
        <v>54.5</v>
      </c>
      <c r="F257" s="69">
        <v>56.5</v>
      </c>
      <c r="G257" s="69">
        <v>58.5</v>
      </c>
      <c r="H257" s="69">
        <f t="shared" si="19"/>
        <v>-1.9934027777777814</v>
      </c>
      <c r="I257" s="87">
        <f t="shared" si="20"/>
        <v>-4.9533653721710855E-2</v>
      </c>
    </row>
    <row r="258" spans="1:9" s="71" customFormat="1" ht="37" hidden="1" customHeight="1" x14ac:dyDescent="0.2">
      <c r="A258" s="76">
        <v>3333</v>
      </c>
      <c r="B258" s="73" t="s">
        <v>904</v>
      </c>
      <c r="C258" s="74">
        <f>C257+15</f>
        <v>53.25</v>
      </c>
      <c r="D258" s="69">
        <f>D257+'Raw Cost'!F3</f>
        <v>43.743402777777781</v>
      </c>
      <c r="E258" s="69"/>
      <c r="F258" s="69"/>
      <c r="G258" s="69"/>
      <c r="H258" s="68">
        <f t="shared" si="19"/>
        <v>9.5065972222222186</v>
      </c>
      <c r="I258" s="70">
        <f t="shared" si="20"/>
        <v>0.21732642223827392</v>
      </c>
    </row>
    <row r="259" spans="1:9" ht="37" customHeight="1" x14ac:dyDescent="0.2">
      <c r="A259" s="86">
        <v>3320</v>
      </c>
      <c r="B259" s="84" t="s">
        <v>905</v>
      </c>
      <c r="C259" s="85">
        <v>32.75</v>
      </c>
      <c r="D259" s="69">
        <f>'Combo Pricing'!F31</f>
        <v>21.745855263157896</v>
      </c>
      <c r="E259" s="69" cm="1">
        <f t="array" ref="E259:G259">'Combo Pricing'!L31:N31</f>
        <v>30.5</v>
      </c>
      <c r="F259" s="69">
        <v>31.5</v>
      </c>
      <c r="G259" s="69">
        <v>32.75</v>
      </c>
      <c r="H259" s="69">
        <f t="shared" si="19"/>
        <v>11.004144736842104</v>
      </c>
      <c r="I259" s="87">
        <f t="shared" si="20"/>
        <v>0.50603412023464833</v>
      </c>
    </row>
    <row r="260" spans="1:9" s="71" customFormat="1" ht="37" hidden="1" customHeight="1" x14ac:dyDescent="0.2">
      <c r="A260" s="76">
        <v>3321</v>
      </c>
      <c r="B260" s="73" t="s">
        <v>906</v>
      </c>
      <c r="C260" s="74">
        <f>C259+15</f>
        <v>47.75</v>
      </c>
      <c r="D260" s="69">
        <f>D259+'Raw Cost'!F3</f>
        <v>25.245855263157896</v>
      </c>
      <c r="E260" s="69"/>
      <c r="F260" s="69"/>
      <c r="G260" s="69"/>
      <c r="H260" s="68">
        <f t="shared" si="19"/>
        <v>22.504144736842104</v>
      </c>
      <c r="I260" s="70">
        <f t="shared" si="20"/>
        <v>0.89139957835705175</v>
      </c>
    </row>
    <row r="261" spans="1:9" s="71" customFormat="1" ht="37" hidden="1" customHeight="1" x14ac:dyDescent="0.2">
      <c r="A261" s="76">
        <v>3335</v>
      </c>
      <c r="B261" s="73" t="s">
        <v>907</v>
      </c>
      <c r="C261" s="74">
        <f>C281+15</f>
        <v>39.75</v>
      </c>
      <c r="D261" s="69"/>
      <c r="E261" s="69"/>
      <c r="F261" s="69"/>
      <c r="G261" s="69"/>
      <c r="H261" s="68">
        <f t="shared" si="19"/>
        <v>39.75</v>
      </c>
      <c r="I261" s="70" t="e">
        <f t="shared" si="20"/>
        <v>#DIV/0!</v>
      </c>
    </row>
    <row r="262" spans="1:9" ht="37" customHeight="1" x14ac:dyDescent="0.2">
      <c r="A262" s="86">
        <v>4597</v>
      </c>
      <c r="B262" s="84" t="s">
        <v>908</v>
      </c>
      <c r="C262" s="92">
        <v>30.25</v>
      </c>
      <c r="D262" s="69">
        <f>'Master Item List'!M127</f>
        <v>18.725000000000001</v>
      </c>
      <c r="E262" s="69" cm="1">
        <f t="array" ref="E262:G262">'Master Item List'!T127:V127</f>
        <v>24.25</v>
      </c>
      <c r="F262" s="69">
        <v>25.25</v>
      </c>
      <c r="G262" s="69">
        <v>26.25</v>
      </c>
      <c r="H262" s="69">
        <f t="shared" si="19"/>
        <v>11.524999999999999</v>
      </c>
      <c r="I262" s="87">
        <f t="shared" si="20"/>
        <v>0.61548731642189569</v>
      </c>
    </row>
    <row r="263" spans="1:9" ht="37" customHeight="1" x14ac:dyDescent="0.2">
      <c r="A263" s="83">
        <v>185</v>
      </c>
      <c r="B263" s="84" t="s">
        <v>909</v>
      </c>
      <c r="C263" s="92">
        <v>29.25</v>
      </c>
      <c r="D263" s="69">
        <f>'Master Item List'!M128</f>
        <v>17.613888888888891</v>
      </c>
      <c r="E263" s="69" cm="1">
        <f t="array" ref="E263:G263">'Master Item List'!T128:V128</f>
        <v>23</v>
      </c>
      <c r="F263" s="69">
        <v>23.75</v>
      </c>
      <c r="G263" s="69">
        <v>24.75</v>
      </c>
      <c r="H263" s="69">
        <f t="shared" si="19"/>
        <v>11.636111111111109</v>
      </c>
      <c r="I263" s="87">
        <f t="shared" si="20"/>
        <v>0.66062135309888015</v>
      </c>
    </row>
    <row r="264" spans="1:9" ht="37" customHeight="1" x14ac:dyDescent="0.2">
      <c r="A264" s="83">
        <v>502</v>
      </c>
      <c r="B264" s="84" t="s">
        <v>910</v>
      </c>
      <c r="C264" s="92">
        <v>29.25</v>
      </c>
      <c r="D264" s="69">
        <f>'Master Item List'!M138</f>
        <v>17.725000000000001</v>
      </c>
      <c r="E264" s="69" cm="1">
        <f t="array" ref="E264:G264">'Master Item List'!T138:V138</f>
        <v>23</v>
      </c>
      <c r="F264" s="69">
        <v>24</v>
      </c>
      <c r="G264" s="69">
        <v>24.75</v>
      </c>
      <c r="H264" s="69">
        <f t="shared" si="19"/>
        <v>11.524999999999999</v>
      </c>
      <c r="I264" s="87">
        <f t="shared" si="20"/>
        <v>0.65021156558533133</v>
      </c>
    </row>
    <row r="265" spans="1:9" ht="37" customHeight="1" x14ac:dyDescent="0.2">
      <c r="A265" s="83">
        <v>186</v>
      </c>
      <c r="B265" s="84" t="s">
        <v>911</v>
      </c>
      <c r="C265" s="92">
        <v>29.25</v>
      </c>
      <c r="D265" s="69">
        <f>'Master Item List'!M124</f>
        <v>18.198684210526316</v>
      </c>
      <c r="E265" s="69" cm="1">
        <f t="array" ref="E265:G265">'Master Item List'!T124:V124</f>
        <v>23.75</v>
      </c>
      <c r="F265" s="69">
        <v>24.5</v>
      </c>
      <c r="G265" s="69">
        <v>25.5</v>
      </c>
      <c r="H265" s="69">
        <f t="shared" si="19"/>
        <v>11.051315789473684</v>
      </c>
      <c r="I265" s="87">
        <f t="shared" si="20"/>
        <v>0.60725905574434236</v>
      </c>
    </row>
    <row r="266" spans="1:9" ht="37" customHeight="1" x14ac:dyDescent="0.2">
      <c r="A266" s="83">
        <v>187</v>
      </c>
      <c r="B266" s="84" t="s">
        <v>912</v>
      </c>
      <c r="C266" s="92">
        <v>29.25</v>
      </c>
      <c r="D266" s="69">
        <f>'Master Item List'!M124</f>
        <v>18.198684210526316</v>
      </c>
      <c r="E266" s="69" cm="1">
        <f t="array" ref="E266:G266">'Master Item List'!T124:V124</f>
        <v>23.75</v>
      </c>
      <c r="F266" s="69">
        <v>24.5</v>
      </c>
      <c r="G266" s="69">
        <v>25.5</v>
      </c>
      <c r="H266" s="69">
        <f t="shared" si="19"/>
        <v>11.051315789473684</v>
      </c>
      <c r="I266" s="87">
        <f t="shared" si="20"/>
        <v>0.60725905574434236</v>
      </c>
    </row>
    <row r="267" spans="1:9" ht="37" customHeight="1" x14ac:dyDescent="0.2">
      <c r="A267" s="83">
        <v>190</v>
      </c>
      <c r="B267" s="84" t="s">
        <v>913</v>
      </c>
      <c r="C267" s="92">
        <v>30.5</v>
      </c>
      <c r="D267" s="69">
        <f>'Master Item List'!M127</f>
        <v>18.725000000000001</v>
      </c>
      <c r="E267" s="69" cm="1">
        <f t="array" ref="E267:G267">'Master Item List'!T127:V127</f>
        <v>24.25</v>
      </c>
      <c r="F267" s="69">
        <v>25.25</v>
      </c>
      <c r="G267" s="69">
        <v>26.25</v>
      </c>
      <c r="H267" s="69">
        <f t="shared" si="19"/>
        <v>11.774999999999999</v>
      </c>
      <c r="I267" s="87">
        <f t="shared" si="20"/>
        <v>0.62883845126835769</v>
      </c>
    </row>
    <row r="268" spans="1:9" ht="37" customHeight="1" x14ac:dyDescent="0.2">
      <c r="A268" s="83">
        <v>501</v>
      </c>
      <c r="B268" s="84" t="s">
        <v>914</v>
      </c>
      <c r="C268" s="92">
        <v>30.5</v>
      </c>
      <c r="D268" s="69">
        <f>'Master Item List'!M128</f>
        <v>17.613888888888891</v>
      </c>
      <c r="E268" s="69" cm="1">
        <f t="array" ref="E268:G268">'Master Item List'!T128:V128</f>
        <v>23</v>
      </c>
      <c r="F268" s="69">
        <v>23.75</v>
      </c>
      <c r="G268" s="69">
        <v>24.75</v>
      </c>
      <c r="H268" s="69">
        <f t="shared" si="19"/>
        <v>12.886111111111109</v>
      </c>
      <c r="I268" s="87">
        <f t="shared" si="20"/>
        <v>0.73158807759028521</v>
      </c>
    </row>
    <row r="269" spans="1:9" ht="37" customHeight="1" x14ac:dyDescent="0.2">
      <c r="A269" s="86">
        <v>2054</v>
      </c>
      <c r="B269" s="84" t="s">
        <v>915</v>
      </c>
      <c r="C269" s="92">
        <v>30.5</v>
      </c>
      <c r="D269" s="69">
        <f>'Master Item List'!M129</f>
        <v>18.725000000000001</v>
      </c>
      <c r="E269" s="69" cm="1">
        <f t="array" ref="E269:G269">'Master Item List'!T129:V129</f>
        <v>24.25</v>
      </c>
      <c r="F269" s="69">
        <v>25.25</v>
      </c>
      <c r="G269" s="69">
        <v>26.25</v>
      </c>
      <c r="H269" s="69">
        <f t="shared" si="19"/>
        <v>11.774999999999999</v>
      </c>
      <c r="I269" s="87">
        <f t="shared" si="20"/>
        <v>0.62883845126835769</v>
      </c>
    </row>
    <row r="270" spans="1:9" ht="37" customHeight="1" x14ac:dyDescent="0.2">
      <c r="A270" s="83">
        <v>478</v>
      </c>
      <c r="B270" s="84" t="s">
        <v>916</v>
      </c>
      <c r="C270" s="92">
        <v>30.5</v>
      </c>
      <c r="D270" s="69">
        <f>'Master Item List'!M132</f>
        <v>18.725000000000001</v>
      </c>
      <c r="E270" s="69" cm="1">
        <f t="array" ref="E270:G270">'Master Item List'!T132:V132</f>
        <v>24.25</v>
      </c>
      <c r="F270" s="69">
        <v>25.25</v>
      </c>
      <c r="G270" s="69">
        <v>26.25</v>
      </c>
      <c r="H270" s="69">
        <f t="shared" si="19"/>
        <v>11.774999999999999</v>
      </c>
      <c r="I270" s="87">
        <f t="shared" si="20"/>
        <v>0.62883845126835769</v>
      </c>
    </row>
    <row r="271" spans="1:9" ht="37" customHeight="1" x14ac:dyDescent="0.2">
      <c r="A271" s="83">
        <v>189</v>
      </c>
      <c r="B271" s="84" t="s">
        <v>917</v>
      </c>
      <c r="C271" s="85">
        <v>30.5</v>
      </c>
      <c r="D271" s="69">
        <f>'Master Item List'!M134</f>
        <v>19.725000000000001</v>
      </c>
      <c r="E271" s="69" cm="1">
        <f t="array" ref="E271:G271">'Master Item List'!T134:V134</f>
        <v>25.75</v>
      </c>
      <c r="F271" s="69">
        <v>26.75</v>
      </c>
      <c r="G271" s="69">
        <v>27.5</v>
      </c>
      <c r="H271" s="69">
        <f t="shared" si="19"/>
        <v>10.774999999999999</v>
      </c>
      <c r="I271" s="87">
        <f t="shared" si="20"/>
        <v>0.54626108998732559</v>
      </c>
    </row>
    <row r="272" spans="1:9" ht="37" customHeight="1" x14ac:dyDescent="0.2">
      <c r="A272" s="83">
        <v>188</v>
      </c>
      <c r="B272" s="84" t="s">
        <v>918</v>
      </c>
      <c r="C272" s="85">
        <v>29.5</v>
      </c>
      <c r="D272" s="69">
        <f>'Master Item List'!M125</f>
        <v>17.058333333333334</v>
      </c>
      <c r="E272" s="69" cm="1">
        <f t="array" ref="E272:G272">'Master Item List'!T125:V125</f>
        <v>22.25</v>
      </c>
      <c r="F272" s="69">
        <v>23</v>
      </c>
      <c r="G272" s="69">
        <v>24</v>
      </c>
      <c r="H272" s="69">
        <f t="shared" si="19"/>
        <v>12.441666666666666</v>
      </c>
      <c r="I272" s="87">
        <f t="shared" si="20"/>
        <v>0.72936003908158276</v>
      </c>
    </row>
    <row r="273" spans="1:9" ht="37" customHeight="1" x14ac:dyDescent="0.2">
      <c r="A273" s="86">
        <v>2817</v>
      </c>
      <c r="B273" s="84" t="s">
        <v>919</v>
      </c>
      <c r="C273" s="92">
        <v>30.75</v>
      </c>
      <c r="D273" s="69">
        <f>'Master Item List'!M153</f>
        <v>20.994285714285716</v>
      </c>
      <c r="E273" s="69">
        <f>'Master Item List'!T153</f>
        <v>27.25</v>
      </c>
      <c r="F273" s="69">
        <f>'Master Item List'!U153</f>
        <v>28.25</v>
      </c>
      <c r="G273" s="69">
        <f>'Master Item List'!V153</f>
        <v>29.5</v>
      </c>
      <c r="H273" s="69">
        <f t="shared" si="19"/>
        <v>9.7557142857142836</v>
      </c>
      <c r="I273" s="87">
        <f t="shared" si="20"/>
        <v>0.46468426782798028</v>
      </c>
    </row>
    <row r="274" spans="1:9" ht="37" customHeight="1" x14ac:dyDescent="0.2">
      <c r="A274" s="86">
        <v>1077</v>
      </c>
      <c r="B274" s="84" t="s">
        <v>920</v>
      </c>
      <c r="C274" s="92">
        <v>30.75</v>
      </c>
      <c r="D274" s="69">
        <f>'Master Item List'!M149</f>
        <v>20.994285714285716</v>
      </c>
      <c r="E274" s="69">
        <f>'Master Item List'!T149</f>
        <v>27.25</v>
      </c>
      <c r="F274" s="69">
        <f>'Master Item List'!U149</f>
        <v>28.25</v>
      </c>
      <c r="G274" s="69">
        <f>'Master Item List'!V149</f>
        <v>29.5</v>
      </c>
      <c r="H274" s="69">
        <f t="shared" si="19"/>
        <v>9.7557142857142836</v>
      </c>
      <c r="I274" s="87">
        <f t="shared" si="20"/>
        <v>0.46468426782798028</v>
      </c>
    </row>
    <row r="275" spans="1:9" ht="37" customHeight="1" x14ac:dyDescent="0.2">
      <c r="A275" s="86">
        <v>2897</v>
      </c>
      <c r="B275" s="84" t="s">
        <v>921</v>
      </c>
      <c r="C275" s="92">
        <v>30.75</v>
      </c>
      <c r="D275" s="69">
        <f>'Master Item List'!M151</f>
        <v>20.289285714285715</v>
      </c>
      <c r="E275" s="69" cm="1">
        <f t="array" ref="E275:G275">'Master Item List'!T151:V151</f>
        <v>26.5</v>
      </c>
      <c r="F275" s="69">
        <v>27.5</v>
      </c>
      <c r="G275" s="69">
        <v>28.5</v>
      </c>
      <c r="H275" s="69">
        <f t="shared" si="19"/>
        <v>10.460714285714285</v>
      </c>
      <c r="I275" s="87">
        <f t="shared" si="20"/>
        <v>0.51557824326703039</v>
      </c>
    </row>
    <row r="276" spans="1:9" ht="37" customHeight="1" x14ac:dyDescent="0.2">
      <c r="A276" s="86">
        <v>1169</v>
      </c>
      <c r="B276" s="84" t="s">
        <v>922</v>
      </c>
      <c r="C276" s="92">
        <v>30.75</v>
      </c>
      <c r="D276" s="69">
        <f>'Master Item List'!M148</f>
        <v>20.994285714285716</v>
      </c>
      <c r="E276" s="69" cm="1">
        <f t="array" ref="E276:G276">'Master Item List'!T148:V148</f>
        <v>27.25</v>
      </c>
      <c r="F276" s="69">
        <v>28.25</v>
      </c>
      <c r="G276" s="69">
        <v>29.5</v>
      </c>
      <c r="H276" s="69">
        <f t="shared" si="19"/>
        <v>9.7557142857142836</v>
      </c>
      <c r="I276" s="87">
        <f t="shared" si="20"/>
        <v>0.46468426782798028</v>
      </c>
    </row>
    <row r="277" spans="1:9" ht="37" customHeight="1" x14ac:dyDescent="0.2">
      <c r="A277" s="83">
        <v>786</v>
      </c>
      <c r="B277" s="84" t="s">
        <v>923</v>
      </c>
      <c r="C277" s="85">
        <v>29.5</v>
      </c>
      <c r="D277" s="69">
        <f>'Master Item List'!M152</f>
        <v>19.819285714285716</v>
      </c>
      <c r="E277" s="69" cm="1">
        <f t="array" ref="E277:G277">'Master Item List'!T152:V152</f>
        <v>25.75</v>
      </c>
      <c r="F277" s="69">
        <v>26.75</v>
      </c>
      <c r="G277" s="69">
        <v>27.75</v>
      </c>
      <c r="H277" s="69">
        <f t="shared" si="19"/>
        <v>9.6807142857142843</v>
      </c>
      <c r="I277" s="87">
        <f t="shared" si="20"/>
        <v>0.48844920171550066</v>
      </c>
    </row>
    <row r="278" spans="1:9" ht="37" customHeight="1" x14ac:dyDescent="0.2">
      <c r="A278" s="86">
        <v>2053</v>
      </c>
      <c r="B278" s="84" t="s">
        <v>924</v>
      </c>
      <c r="C278" s="92">
        <v>30.75</v>
      </c>
      <c r="D278" s="69">
        <f>'Master Item List'!M153</f>
        <v>20.994285714285716</v>
      </c>
      <c r="E278" s="69" cm="1">
        <f t="array" ref="E278:G278">'Master Item List'!T153:V153</f>
        <v>27.25</v>
      </c>
      <c r="F278" s="69">
        <v>28.25</v>
      </c>
      <c r="G278" s="69">
        <v>29.5</v>
      </c>
      <c r="H278" s="69">
        <f t="shared" si="19"/>
        <v>9.7557142857142836</v>
      </c>
      <c r="I278" s="87">
        <f t="shared" si="20"/>
        <v>0.46468426782798028</v>
      </c>
    </row>
    <row r="279" spans="1:9" ht="37" customHeight="1" x14ac:dyDescent="0.2">
      <c r="A279" s="83">
        <v>415</v>
      </c>
      <c r="B279" s="84" t="s">
        <v>925</v>
      </c>
      <c r="C279" s="92">
        <v>30.75</v>
      </c>
      <c r="D279" s="69">
        <f>'Master Item List'!M147</f>
        <v>20.994285714285716</v>
      </c>
      <c r="E279" s="69" cm="1">
        <f t="array" ref="E279:G279">'Master Item List'!T147:V147</f>
        <v>27.25</v>
      </c>
      <c r="F279" s="69">
        <v>28.25</v>
      </c>
      <c r="G279" s="69">
        <v>29.5</v>
      </c>
      <c r="H279" s="69">
        <f t="shared" si="19"/>
        <v>9.7557142857142836</v>
      </c>
      <c r="I279" s="87">
        <f t="shared" si="20"/>
        <v>0.46468426782798028</v>
      </c>
    </row>
    <row r="280" spans="1:9" ht="37" customHeight="1" x14ac:dyDescent="0.2">
      <c r="A280" s="83">
        <v>435</v>
      </c>
      <c r="B280" s="84" t="s">
        <v>926</v>
      </c>
      <c r="C280" s="92">
        <v>30.75</v>
      </c>
      <c r="D280" s="69">
        <f>'Master Item List'!M149</f>
        <v>20.994285714285716</v>
      </c>
      <c r="E280" s="69" cm="1">
        <f t="array" ref="E280:G280">'Master Item List'!T149:V149</f>
        <v>27.25</v>
      </c>
      <c r="F280" s="69">
        <v>28.25</v>
      </c>
      <c r="G280" s="69">
        <v>29.5</v>
      </c>
      <c r="H280" s="69">
        <f t="shared" si="19"/>
        <v>9.7557142857142836</v>
      </c>
      <c r="I280" s="87">
        <f t="shared" si="20"/>
        <v>0.46468426782798028</v>
      </c>
    </row>
    <row r="281" spans="1:9" ht="37" customHeight="1" x14ac:dyDescent="0.2">
      <c r="A281" s="86">
        <v>4632</v>
      </c>
      <c r="B281" s="84" t="s">
        <v>927</v>
      </c>
      <c r="C281" s="85">
        <v>24.75</v>
      </c>
      <c r="D281" s="69">
        <f>'Master Item List'!M312</f>
        <v>47.685000000000002</v>
      </c>
      <c r="E281" s="69" cm="1">
        <f t="array" ref="E281:G281">'Master Item List'!T312:V312</f>
        <v>62</v>
      </c>
      <c r="F281" s="69">
        <v>64.25</v>
      </c>
      <c r="G281" s="69">
        <v>66.75</v>
      </c>
      <c r="H281" s="69">
        <f t="shared" si="19"/>
        <v>-22.935000000000002</v>
      </c>
      <c r="I281" s="87">
        <f t="shared" si="20"/>
        <v>-0.48096885813148793</v>
      </c>
    </row>
    <row r="282" spans="1:9" ht="37" customHeight="1" x14ac:dyDescent="0.2">
      <c r="A282" s="83">
        <v>707</v>
      </c>
      <c r="B282" s="84" t="s">
        <v>928</v>
      </c>
      <c r="C282" s="85">
        <v>31.75</v>
      </c>
      <c r="D282" s="69">
        <f>'Master Item List'!M311</f>
        <v>13.755303030303031</v>
      </c>
      <c r="E282" s="69" cm="1">
        <f t="array" ref="E282:G282">'Master Item List'!T312:V312</f>
        <v>62</v>
      </c>
      <c r="F282" s="69">
        <v>64.25</v>
      </c>
      <c r="G282" s="69">
        <v>66.75</v>
      </c>
      <c r="H282" s="69">
        <f t="shared" si="19"/>
        <v>17.994696969696967</v>
      </c>
      <c r="I282" s="87">
        <f t="shared" si="20"/>
        <v>1.3082006939472377</v>
      </c>
    </row>
    <row r="283" spans="1:9" ht="37" customHeight="1" x14ac:dyDescent="0.2">
      <c r="A283" s="83">
        <v>128</v>
      </c>
      <c r="B283" s="84" t="s">
        <v>929</v>
      </c>
      <c r="C283" s="92">
        <v>30.5</v>
      </c>
      <c r="D283" s="69">
        <f>'Master Item List'!M150</f>
        <v>20.069473684210529</v>
      </c>
      <c r="E283" s="69" cm="1">
        <f t="array" ref="E283:G283">'Master Item List'!T150:V150</f>
        <v>26</v>
      </c>
      <c r="F283" s="69">
        <v>27</v>
      </c>
      <c r="G283" s="69">
        <v>28</v>
      </c>
      <c r="H283" s="69">
        <f t="shared" ref="H283:H346" si="21">C283-D283</f>
        <v>10.430526315789471</v>
      </c>
      <c r="I283" s="87">
        <f t="shared" ref="I283:I346" si="22">H283/D283</f>
        <v>0.51972096926465938</v>
      </c>
    </row>
    <row r="284" spans="1:9" s="71" customFormat="1" ht="37" hidden="1" customHeight="1" x14ac:dyDescent="0.2">
      <c r="A284" s="76">
        <v>2427</v>
      </c>
      <c r="B284" s="73" t="s">
        <v>930</v>
      </c>
      <c r="C284" s="74">
        <f>C281+15</f>
        <v>39.75</v>
      </c>
      <c r="D284" s="69">
        <f>D281+'Raw Cost'!F1</f>
        <v>56.885000000000005</v>
      </c>
      <c r="E284" s="69"/>
      <c r="F284" s="69"/>
      <c r="G284" s="69"/>
      <c r="H284" s="68">
        <f t="shared" si="21"/>
        <v>-17.135000000000005</v>
      </c>
      <c r="I284" s="70">
        <f t="shared" si="22"/>
        <v>-0.30122176320646926</v>
      </c>
    </row>
    <row r="285" spans="1:9" ht="37" customHeight="1" x14ac:dyDescent="0.2">
      <c r="A285" s="86">
        <v>3175</v>
      </c>
      <c r="B285" s="84" t="s">
        <v>931</v>
      </c>
      <c r="C285" s="85">
        <v>27.5</v>
      </c>
      <c r="D285" s="69">
        <f>'Master Item List'!M314</f>
        <v>28.965</v>
      </c>
      <c r="E285" s="69" cm="1">
        <f t="array" ref="E285:G285">'Master Item List'!T314:V314</f>
        <v>37.75</v>
      </c>
      <c r="F285" s="69">
        <v>39</v>
      </c>
      <c r="G285" s="69">
        <v>40.5</v>
      </c>
      <c r="H285" s="69">
        <f t="shared" si="21"/>
        <v>-1.4649999999999999</v>
      </c>
      <c r="I285" s="87">
        <f t="shared" si="22"/>
        <v>-5.0578284136026233E-2</v>
      </c>
    </row>
    <row r="286" spans="1:9" s="71" customFormat="1" ht="37" hidden="1" customHeight="1" x14ac:dyDescent="0.2">
      <c r="A286" s="76">
        <v>3176</v>
      </c>
      <c r="B286" s="73" t="s">
        <v>932</v>
      </c>
      <c r="C286" s="74">
        <f>C285+15</f>
        <v>42.5</v>
      </c>
      <c r="D286" s="69">
        <f>D285+'Raw Cost'!F1</f>
        <v>38.164999999999999</v>
      </c>
      <c r="E286" s="69"/>
      <c r="F286" s="69"/>
      <c r="G286" s="69"/>
      <c r="H286" s="68">
        <f t="shared" si="21"/>
        <v>4.3350000000000009</v>
      </c>
      <c r="I286" s="70">
        <f t="shared" si="22"/>
        <v>0.11358574610244991</v>
      </c>
    </row>
    <row r="287" spans="1:9" ht="37" customHeight="1" x14ac:dyDescent="0.2">
      <c r="A287" s="86">
        <v>3017</v>
      </c>
      <c r="B287" s="84" t="s">
        <v>933</v>
      </c>
      <c r="C287" s="85">
        <v>29.25</v>
      </c>
      <c r="D287" s="69"/>
      <c r="E287" s="69"/>
      <c r="F287" s="69"/>
      <c r="G287" s="69"/>
      <c r="H287" s="69">
        <f t="shared" si="21"/>
        <v>29.25</v>
      </c>
      <c r="I287" s="87"/>
    </row>
    <row r="288" spans="1:9" s="71" customFormat="1" ht="37" hidden="1" customHeight="1" x14ac:dyDescent="0.2">
      <c r="A288" s="72">
        <v>384</v>
      </c>
      <c r="B288" s="73" t="s">
        <v>934</v>
      </c>
      <c r="C288" s="74">
        <v>999.99</v>
      </c>
      <c r="D288" s="69"/>
      <c r="E288" s="69"/>
      <c r="F288" s="69"/>
      <c r="G288" s="69"/>
      <c r="H288" s="68">
        <f t="shared" si="21"/>
        <v>999.99</v>
      </c>
      <c r="I288" s="70"/>
    </row>
    <row r="289" spans="1:9" ht="37" customHeight="1" x14ac:dyDescent="0.2">
      <c r="A289" s="84" t="s">
        <v>935</v>
      </c>
      <c r="B289" s="84" t="s">
        <v>936</v>
      </c>
      <c r="C289" s="85">
        <v>12.5</v>
      </c>
      <c r="D289" s="69">
        <f>'Master Item List'!M68</f>
        <v>14.514999999999999</v>
      </c>
      <c r="E289" s="69" cm="1">
        <f t="array" ref="E289:G289">'Master Item List'!T68:V68</f>
        <v>18.75</v>
      </c>
      <c r="F289" s="69">
        <v>19.5</v>
      </c>
      <c r="G289" s="69">
        <v>20.25</v>
      </c>
      <c r="H289" s="69">
        <f t="shared" si="21"/>
        <v>-2.0149999999999988</v>
      </c>
      <c r="I289" s="87">
        <f t="shared" si="22"/>
        <v>-0.13882190837065098</v>
      </c>
    </row>
    <row r="290" spans="1:9" s="71" customFormat="1" ht="37" hidden="1" customHeight="1" x14ac:dyDescent="0.2">
      <c r="A290" s="76">
        <v>2426</v>
      </c>
      <c r="B290" s="73" t="s">
        <v>937</v>
      </c>
      <c r="C290" s="74">
        <f>C292+15</f>
        <v>41.75</v>
      </c>
      <c r="D290" s="69"/>
      <c r="E290" s="69"/>
      <c r="F290" s="69"/>
      <c r="G290" s="69"/>
      <c r="H290" s="68">
        <f t="shared" si="21"/>
        <v>41.75</v>
      </c>
      <c r="I290" s="70" t="e">
        <f t="shared" si="22"/>
        <v>#DIV/0!</v>
      </c>
    </row>
    <row r="291" spans="1:9" ht="37" customHeight="1" x14ac:dyDescent="0.2">
      <c r="A291" s="86">
        <v>3215</v>
      </c>
      <c r="B291" s="84" t="s">
        <v>938</v>
      </c>
      <c r="C291" s="85">
        <v>26.75</v>
      </c>
      <c r="D291" s="69">
        <f>'Master Item List'!M135</f>
        <v>17.052368421052631</v>
      </c>
      <c r="E291" s="69" cm="1">
        <f t="array" ref="E291:G291">'Master Item List'!T135:V135</f>
        <v>22.25</v>
      </c>
      <c r="F291" s="69">
        <v>23</v>
      </c>
      <c r="G291" s="69">
        <v>23.75</v>
      </c>
      <c r="H291" s="69">
        <f t="shared" si="21"/>
        <v>9.6976315789473695</v>
      </c>
      <c r="I291" s="87">
        <f t="shared" si="22"/>
        <v>0.56869704779394759</v>
      </c>
    </row>
    <row r="292" spans="1:9" ht="37" customHeight="1" x14ac:dyDescent="0.2">
      <c r="A292" s="86">
        <v>1010</v>
      </c>
      <c r="B292" s="84" t="s">
        <v>939</v>
      </c>
      <c r="C292" s="85">
        <v>26.75</v>
      </c>
      <c r="D292" s="69">
        <f>'Master Item List'!M297</f>
        <v>23.919444444444444</v>
      </c>
      <c r="E292" s="69" cm="1">
        <f t="array" ref="E292:G292">'Master Item List'!T297:V297</f>
        <v>47</v>
      </c>
      <c r="F292" s="69">
        <v>48.25</v>
      </c>
      <c r="G292" s="69">
        <v>49.5</v>
      </c>
      <c r="H292" s="69">
        <f t="shared" si="21"/>
        <v>2.8305555555555557</v>
      </c>
      <c r="I292" s="87">
        <f t="shared" si="22"/>
        <v>0.11833701080013936</v>
      </c>
    </row>
    <row r="293" spans="1:9" ht="37" customHeight="1" x14ac:dyDescent="0.2">
      <c r="A293" s="86">
        <v>2111</v>
      </c>
      <c r="B293" s="84" t="s">
        <v>940</v>
      </c>
      <c r="C293" s="85">
        <v>28.5</v>
      </c>
      <c r="D293" s="69">
        <f>'Master Item List'!M139</f>
        <v>18.504999999999999</v>
      </c>
      <c r="E293" s="69" cm="1">
        <f t="array" ref="E293:G293">'Master Item List'!T139:V139</f>
        <v>24</v>
      </c>
      <c r="F293" s="69">
        <v>25</v>
      </c>
      <c r="G293" s="69">
        <v>26</v>
      </c>
      <c r="H293" s="69">
        <f t="shared" si="21"/>
        <v>9.995000000000001</v>
      </c>
      <c r="I293" s="87">
        <f t="shared" si="22"/>
        <v>0.54012429073223467</v>
      </c>
    </row>
    <row r="294" spans="1:9" ht="37" customHeight="1" x14ac:dyDescent="0.2">
      <c r="A294" s="86">
        <v>1305</v>
      </c>
      <c r="B294" s="84" t="s">
        <v>941</v>
      </c>
      <c r="C294" s="85">
        <v>35.25</v>
      </c>
      <c r="D294" s="69">
        <f>'Master Item List'!M140</f>
        <v>25.247857142857143</v>
      </c>
      <c r="E294" s="69" cm="1">
        <f t="array" ref="E294:G294">'Master Item List'!T140:V140</f>
        <v>32.75</v>
      </c>
      <c r="F294" s="69">
        <v>34</v>
      </c>
      <c r="G294" s="69">
        <v>35.25</v>
      </c>
      <c r="H294" s="69">
        <f t="shared" si="21"/>
        <v>10.002142857142857</v>
      </c>
      <c r="I294" s="87">
        <f t="shared" si="22"/>
        <v>0.39615808979545647</v>
      </c>
    </row>
    <row r="295" spans="1:9" ht="37" customHeight="1" x14ac:dyDescent="0.2">
      <c r="A295" s="86">
        <v>1097</v>
      </c>
      <c r="B295" s="84" t="s">
        <v>942</v>
      </c>
      <c r="C295" s="85">
        <v>23</v>
      </c>
      <c r="D295" s="69">
        <f>'Master Item List'!M140/2</f>
        <v>12.623928571428571</v>
      </c>
      <c r="E295" s="69" cm="1">
        <f t="array" ref="E295:G295">'Master Item List'!T140:V140/2</f>
        <v>16.375</v>
      </c>
      <c r="F295" s="69">
        <v>17</v>
      </c>
      <c r="G295" s="69">
        <v>17.625</v>
      </c>
      <c r="H295" s="69">
        <f t="shared" si="21"/>
        <v>10.376071428571429</v>
      </c>
      <c r="I295" s="87">
        <f t="shared" si="22"/>
        <v>0.82193679803095032</v>
      </c>
    </row>
    <row r="296" spans="1:9" ht="37" customHeight="1" x14ac:dyDescent="0.2">
      <c r="A296" s="86">
        <v>2950</v>
      </c>
      <c r="B296" s="84" t="s">
        <v>943</v>
      </c>
      <c r="C296" s="85">
        <v>58</v>
      </c>
      <c r="D296" s="69">
        <f>'Master Item List'!M98</f>
        <v>3.95</v>
      </c>
      <c r="E296" s="69" cm="1">
        <f t="array" ref="E296:G296">'Master Item List'!T98:V98</f>
        <v>5.25</v>
      </c>
      <c r="F296" s="69">
        <v>5.25</v>
      </c>
      <c r="G296" s="69">
        <v>5.5</v>
      </c>
      <c r="H296" s="69">
        <f t="shared" si="21"/>
        <v>54.05</v>
      </c>
      <c r="I296" s="87">
        <f t="shared" si="22"/>
        <v>13.683544303797467</v>
      </c>
    </row>
    <row r="297" spans="1:9" ht="37" customHeight="1" x14ac:dyDescent="0.2">
      <c r="A297" s="86">
        <v>3054</v>
      </c>
      <c r="B297" s="84" t="s">
        <v>944</v>
      </c>
      <c r="C297" s="85">
        <v>25.25</v>
      </c>
      <c r="D297" s="69">
        <f>'Master Item List'!M300</f>
        <v>20.3121875</v>
      </c>
      <c r="E297" s="69" cm="1">
        <f t="array" ref="E297:G297">'Master Item List'!T300:V300</f>
        <v>26.5</v>
      </c>
      <c r="F297" s="69">
        <v>27.5</v>
      </c>
      <c r="G297" s="69">
        <v>28.5</v>
      </c>
      <c r="H297" s="69">
        <f t="shared" si="21"/>
        <v>4.9378124999999997</v>
      </c>
      <c r="I297" s="87">
        <f t="shared" si="22"/>
        <v>0.243096047631502</v>
      </c>
    </row>
    <row r="298" spans="1:9" s="71" customFormat="1" ht="37" hidden="1" customHeight="1" x14ac:dyDescent="0.2">
      <c r="A298" s="76">
        <v>2428</v>
      </c>
      <c r="B298" s="73" t="s">
        <v>945</v>
      </c>
      <c r="C298" s="74">
        <f>C297+15</f>
        <v>40.25</v>
      </c>
      <c r="D298" s="69">
        <f>D297+'Raw Cost'!F1</f>
        <v>29.5121875</v>
      </c>
      <c r="E298" s="69"/>
      <c r="F298" s="69"/>
      <c r="G298" s="69"/>
      <c r="H298" s="68">
        <f t="shared" si="21"/>
        <v>10.7378125</v>
      </c>
      <c r="I298" s="70">
        <f t="shared" si="22"/>
        <v>0.36384332743887593</v>
      </c>
    </row>
    <row r="299" spans="1:9" s="71" customFormat="1" ht="37" hidden="1" customHeight="1" x14ac:dyDescent="0.2">
      <c r="A299" s="76">
        <v>3336</v>
      </c>
      <c r="B299" s="73" t="s">
        <v>946</v>
      </c>
      <c r="C299" s="74">
        <f>C297+15</f>
        <v>40.25</v>
      </c>
      <c r="D299" s="69">
        <f>D297+'Raw Cost'!F3</f>
        <v>23.8121875</v>
      </c>
      <c r="E299" s="69"/>
      <c r="F299" s="69"/>
      <c r="G299" s="69"/>
      <c r="H299" s="68">
        <f t="shared" si="21"/>
        <v>16.4378125</v>
      </c>
      <c r="I299" s="70">
        <f t="shared" si="22"/>
        <v>0.69031089646845756</v>
      </c>
    </row>
    <row r="300" spans="1:9" ht="37" customHeight="1" x14ac:dyDescent="0.2">
      <c r="A300" s="86">
        <v>1386</v>
      </c>
      <c r="B300" s="84" t="s">
        <v>947</v>
      </c>
      <c r="C300" s="85">
        <v>52.5</v>
      </c>
      <c r="D300" s="69">
        <f>'Master Item List'!M2</f>
        <v>34.104999999999997</v>
      </c>
      <c r="E300" s="69" cm="1">
        <f t="array" ref="E300:G300">'Master Item List'!T2:V2</f>
        <v>44.25</v>
      </c>
      <c r="F300" s="69">
        <v>46</v>
      </c>
      <c r="G300" s="69">
        <v>47.75</v>
      </c>
      <c r="H300" s="69">
        <f t="shared" si="21"/>
        <v>18.395000000000003</v>
      </c>
      <c r="I300" s="87">
        <f t="shared" si="22"/>
        <v>0.53936372965840795</v>
      </c>
    </row>
    <row r="301" spans="1:9" ht="37" customHeight="1" x14ac:dyDescent="0.2">
      <c r="A301" s="86">
        <v>2824</v>
      </c>
      <c r="B301" s="84" t="s">
        <v>948</v>
      </c>
      <c r="C301" s="85">
        <v>40.5</v>
      </c>
      <c r="D301" s="69">
        <f>'Master Item List'!M18</f>
        <v>28.574999999999999</v>
      </c>
      <c r="E301" s="69" cm="1">
        <f t="array" ref="E301:G301">'Master Item List'!T18:V18</f>
        <v>37.25</v>
      </c>
      <c r="F301" s="69">
        <v>38.5</v>
      </c>
      <c r="G301" s="69">
        <v>40</v>
      </c>
      <c r="H301" s="69">
        <f t="shared" si="21"/>
        <v>11.925000000000001</v>
      </c>
      <c r="I301" s="87">
        <f t="shared" si="22"/>
        <v>0.41732283464566933</v>
      </c>
    </row>
    <row r="302" spans="1:9" s="71" customFormat="1" ht="37" hidden="1" customHeight="1" x14ac:dyDescent="0.2">
      <c r="A302" s="76">
        <v>4675</v>
      </c>
      <c r="B302" s="73" t="s">
        <v>949</v>
      </c>
      <c r="C302" s="74">
        <v>999.99</v>
      </c>
      <c r="D302" s="69"/>
      <c r="E302" s="69"/>
      <c r="F302" s="69"/>
      <c r="G302" s="69"/>
      <c r="H302" s="68">
        <f t="shared" si="21"/>
        <v>999.99</v>
      </c>
      <c r="I302" s="70" t="e">
        <f t="shared" si="22"/>
        <v>#DIV/0!</v>
      </c>
    </row>
    <row r="303" spans="1:9" ht="37" customHeight="1" x14ac:dyDescent="0.2">
      <c r="A303" s="86">
        <v>1247</v>
      </c>
      <c r="B303" s="84" t="s">
        <v>950</v>
      </c>
      <c r="C303" s="85">
        <v>40.5</v>
      </c>
      <c r="D303" s="69">
        <f>'Master Item List'!M18</f>
        <v>28.574999999999999</v>
      </c>
      <c r="E303" s="69" cm="1">
        <f t="array" ref="E303:G303">'Master Item List'!T18:V18</f>
        <v>37.25</v>
      </c>
      <c r="F303" s="69">
        <v>38.5</v>
      </c>
      <c r="G303" s="69">
        <v>40</v>
      </c>
      <c r="H303" s="69">
        <f t="shared" si="21"/>
        <v>11.925000000000001</v>
      </c>
      <c r="I303" s="87">
        <f t="shared" si="22"/>
        <v>0.41732283464566933</v>
      </c>
    </row>
    <row r="304" spans="1:9" ht="37" customHeight="1" x14ac:dyDescent="0.2">
      <c r="A304" s="86">
        <v>3287</v>
      </c>
      <c r="B304" s="84" t="s">
        <v>951</v>
      </c>
      <c r="C304" s="85">
        <v>27.25</v>
      </c>
      <c r="D304" s="69">
        <f>'Master Item List'!M325</f>
        <v>19.971710526315789</v>
      </c>
      <c r="E304" s="69" cm="1">
        <f t="array" ref="E304:G304">'Master Item List'!T325:V325</f>
        <v>42</v>
      </c>
      <c r="F304" s="69">
        <v>43</v>
      </c>
      <c r="G304" s="69">
        <v>44</v>
      </c>
      <c r="H304" s="69">
        <f t="shared" si="21"/>
        <v>7.278289473684211</v>
      </c>
      <c r="I304" s="87">
        <f t="shared" si="22"/>
        <v>0.36442995025858949</v>
      </c>
    </row>
    <row r="305" spans="1:9" s="71" customFormat="1" ht="37" hidden="1" customHeight="1" x14ac:dyDescent="0.2">
      <c r="A305" s="76">
        <v>3296</v>
      </c>
      <c r="B305" s="73" t="s">
        <v>952</v>
      </c>
      <c r="C305" s="74">
        <f>C304+15</f>
        <v>42.25</v>
      </c>
      <c r="D305" s="69">
        <f>D304+'Raw Cost'!F1</f>
        <v>29.171710526315788</v>
      </c>
      <c r="E305" s="69"/>
      <c r="F305" s="69"/>
      <c r="G305" s="69"/>
      <c r="H305" s="68">
        <f t="shared" si="21"/>
        <v>13.078289473684212</v>
      </c>
      <c r="I305" s="70">
        <f t="shared" si="22"/>
        <v>0.44832096705081081</v>
      </c>
    </row>
    <row r="306" spans="1:9" ht="37" customHeight="1" x14ac:dyDescent="0.2">
      <c r="A306" s="86">
        <v>4714</v>
      </c>
      <c r="B306" s="84" t="s">
        <v>953</v>
      </c>
      <c r="C306" s="85">
        <v>58</v>
      </c>
      <c r="D306" s="69">
        <f>'Master Item List'!M144</f>
        <v>7.6150000000000002</v>
      </c>
      <c r="E306" s="69" cm="1">
        <f t="array" ref="E306:G306">'Master Item List'!T144:V144</f>
        <v>10</v>
      </c>
      <c r="F306" s="69">
        <v>10.25</v>
      </c>
      <c r="G306" s="69">
        <v>10.75</v>
      </c>
      <c r="H306" s="69">
        <f t="shared" si="21"/>
        <v>50.384999999999998</v>
      </c>
      <c r="I306" s="87">
        <f t="shared" si="22"/>
        <v>6.616546290216677</v>
      </c>
    </row>
    <row r="307" spans="1:9" ht="37" customHeight="1" x14ac:dyDescent="0.2">
      <c r="A307" s="86">
        <v>3207</v>
      </c>
      <c r="B307" s="84" t="s">
        <v>954</v>
      </c>
      <c r="C307" s="85">
        <v>26.5</v>
      </c>
      <c r="D307" s="69">
        <f>'Master Item List'!M141</f>
        <v>51.774999999999999</v>
      </c>
      <c r="E307" s="69" cm="1">
        <f t="array" ref="E307:G307">'Master Item List'!T141:V141</f>
        <v>67.25</v>
      </c>
      <c r="F307" s="69">
        <v>70</v>
      </c>
      <c r="G307" s="69">
        <v>72.5</v>
      </c>
      <c r="H307" s="69">
        <f t="shared" si="21"/>
        <v>-25.274999999999999</v>
      </c>
      <c r="I307" s="87">
        <f t="shared" si="22"/>
        <v>-0.48816996619990344</v>
      </c>
    </row>
    <row r="308" spans="1:9" ht="37" customHeight="1" x14ac:dyDescent="0.2">
      <c r="A308" s="83">
        <v>287</v>
      </c>
      <c r="B308" s="84" t="s">
        <v>955</v>
      </c>
      <c r="C308" s="85">
        <v>15.5</v>
      </c>
      <c r="D308" s="69">
        <f>'Master Item List'!M143</f>
        <v>18.105</v>
      </c>
      <c r="E308" s="69" cm="1">
        <f t="array" ref="E308:G308">'Master Item List'!T143:V143</f>
        <v>23.5</v>
      </c>
      <c r="F308" s="69">
        <v>24.5</v>
      </c>
      <c r="G308" s="69">
        <v>25.25</v>
      </c>
      <c r="H308" s="69">
        <f t="shared" si="21"/>
        <v>-2.6050000000000004</v>
      </c>
      <c r="I308" s="87">
        <f t="shared" si="22"/>
        <v>-0.14388290527478598</v>
      </c>
    </row>
    <row r="309" spans="1:9" ht="37" customHeight="1" x14ac:dyDescent="0.2">
      <c r="A309" s="86">
        <v>3191</v>
      </c>
      <c r="B309" s="84" t="s">
        <v>956</v>
      </c>
      <c r="C309" s="85">
        <v>26.5</v>
      </c>
      <c r="D309" s="69">
        <f>'Master Item List'!M141</f>
        <v>51.774999999999999</v>
      </c>
      <c r="E309" s="69" cm="1">
        <f t="array" ref="E309:G309">'Master Item List'!T141:V141</f>
        <v>67.25</v>
      </c>
      <c r="F309" s="69">
        <v>70</v>
      </c>
      <c r="G309" s="69">
        <v>72.5</v>
      </c>
      <c r="H309" s="69">
        <f t="shared" si="21"/>
        <v>-25.274999999999999</v>
      </c>
      <c r="I309" s="87">
        <f t="shared" si="22"/>
        <v>-0.48816996619990344</v>
      </c>
    </row>
    <row r="310" spans="1:9" ht="37" customHeight="1" x14ac:dyDescent="0.2">
      <c r="A310" s="83">
        <v>987</v>
      </c>
      <c r="B310" s="84" t="s">
        <v>957</v>
      </c>
      <c r="C310" s="85">
        <v>22</v>
      </c>
      <c r="D310" s="69">
        <f>'Master Item List'!M142</f>
        <v>18.441666666666663</v>
      </c>
      <c r="E310" s="69" cm="1">
        <f t="array" ref="E310:G310">'Master Item List'!T142:V142</f>
        <v>24</v>
      </c>
      <c r="F310" s="69">
        <v>25</v>
      </c>
      <c r="G310" s="69">
        <v>25.75</v>
      </c>
      <c r="H310" s="69">
        <f t="shared" si="21"/>
        <v>3.5583333333333371</v>
      </c>
      <c r="I310" s="87">
        <f t="shared" si="22"/>
        <v>0.19295074559421624</v>
      </c>
    </row>
    <row r="311" spans="1:9" s="71" customFormat="1" ht="37" hidden="1" customHeight="1" x14ac:dyDescent="0.2">
      <c r="A311" s="76">
        <v>2429</v>
      </c>
      <c r="B311" s="73" t="s">
        <v>958</v>
      </c>
      <c r="C311" s="74">
        <f>C316+15</f>
        <v>46.75</v>
      </c>
      <c r="D311" s="69">
        <f>D316+'Raw Cost'!F1</f>
        <v>23.296710526315788</v>
      </c>
      <c r="E311" s="69"/>
      <c r="F311" s="69"/>
      <c r="G311" s="69"/>
      <c r="H311" s="68">
        <f t="shared" si="21"/>
        <v>23.453289473684212</v>
      </c>
      <c r="I311" s="70">
        <f t="shared" si="22"/>
        <v>1.0067210753720597</v>
      </c>
    </row>
    <row r="312" spans="1:9" s="71" customFormat="1" ht="37" hidden="1" customHeight="1" x14ac:dyDescent="0.2">
      <c r="A312" s="76">
        <v>3347</v>
      </c>
      <c r="B312" s="73" t="s">
        <v>959</v>
      </c>
      <c r="C312" s="74">
        <f>C316+15</f>
        <v>46.75</v>
      </c>
      <c r="D312" s="69">
        <f>D316+'Raw Cost'!F3</f>
        <v>17.596710526315789</v>
      </c>
      <c r="E312" s="69"/>
      <c r="F312" s="69"/>
      <c r="G312" s="69"/>
      <c r="H312" s="68">
        <f t="shared" si="21"/>
        <v>29.153289473684211</v>
      </c>
      <c r="I312" s="70">
        <f t="shared" si="22"/>
        <v>1.6567465510150672</v>
      </c>
    </row>
    <row r="313" spans="1:9" ht="37" customHeight="1" x14ac:dyDescent="0.2">
      <c r="A313" s="86">
        <v>3208</v>
      </c>
      <c r="B313" s="84" t="s">
        <v>960</v>
      </c>
      <c r="C313" s="85">
        <v>30.75</v>
      </c>
      <c r="D313" s="69">
        <f>'Master Item List'!M166</f>
        <v>23.428333333333331</v>
      </c>
      <c r="E313" s="69" cm="1">
        <f t="array" ref="E313:G313">'Master Item List'!T166:V166</f>
        <v>30.5</v>
      </c>
      <c r="F313" s="69">
        <v>31.75</v>
      </c>
      <c r="G313" s="69">
        <v>32.75</v>
      </c>
      <c r="H313" s="69">
        <f t="shared" si="21"/>
        <v>7.321666666666669</v>
      </c>
      <c r="I313" s="87">
        <f t="shared" si="22"/>
        <v>0.31251333855018865</v>
      </c>
    </row>
    <row r="314" spans="1:9" ht="37" customHeight="1" x14ac:dyDescent="0.2">
      <c r="A314" s="86">
        <v>1383</v>
      </c>
      <c r="B314" s="84" t="s">
        <v>961</v>
      </c>
      <c r="C314" s="85">
        <v>18.5</v>
      </c>
      <c r="D314" s="69">
        <f>'Master Item List'!M167</f>
        <v>21.108333333333331</v>
      </c>
      <c r="E314" s="69" cm="1">
        <f t="array" ref="E314:G314">'Master Item List'!T167:V167</f>
        <v>27.5</v>
      </c>
      <c r="F314" s="69">
        <v>28.5</v>
      </c>
      <c r="G314" s="69">
        <v>29.5</v>
      </c>
      <c r="H314" s="69">
        <f t="shared" si="21"/>
        <v>-2.6083333333333307</v>
      </c>
      <c r="I314" s="87">
        <f t="shared" si="22"/>
        <v>-0.12356889064350561</v>
      </c>
    </row>
    <row r="315" spans="1:9" ht="37" customHeight="1" x14ac:dyDescent="0.2">
      <c r="A315" s="83">
        <v>769</v>
      </c>
      <c r="B315" s="84" t="s">
        <v>962</v>
      </c>
      <c r="C315" s="85">
        <v>30.75</v>
      </c>
      <c r="D315" s="69">
        <f>'Master Item List'!M165</f>
        <v>34.771666666666661</v>
      </c>
      <c r="E315" s="69" cm="1">
        <f t="array" ref="E315:G315">'Master Item List'!T165:V165</f>
        <v>45.25</v>
      </c>
      <c r="F315" s="69">
        <v>47</v>
      </c>
      <c r="G315" s="69">
        <v>48.75</v>
      </c>
      <c r="H315" s="69">
        <f t="shared" si="21"/>
        <v>-4.0216666666666612</v>
      </c>
      <c r="I315" s="87">
        <f t="shared" si="22"/>
        <v>-0.11565930115515492</v>
      </c>
    </row>
    <row r="316" spans="1:9" ht="37" customHeight="1" x14ac:dyDescent="0.2">
      <c r="A316" s="86">
        <v>3055</v>
      </c>
      <c r="B316" s="84" t="s">
        <v>963</v>
      </c>
      <c r="C316" s="85">
        <v>31.75</v>
      </c>
      <c r="D316" s="69">
        <f>'Master Item List'!M324</f>
        <v>14.096710526315789</v>
      </c>
      <c r="E316" s="69" cm="1">
        <f t="array" ref="E316:G316">'Master Item List'!T324:V324</f>
        <v>18.25</v>
      </c>
      <c r="F316" s="69">
        <v>19</v>
      </c>
      <c r="G316" s="69">
        <v>19.75</v>
      </c>
      <c r="H316" s="69">
        <f t="shared" si="21"/>
        <v>17.653289473684211</v>
      </c>
      <c r="I316" s="87">
        <f t="shared" si="22"/>
        <v>1.2522985018901387</v>
      </c>
    </row>
    <row r="317" spans="1:9" ht="37" customHeight="1" x14ac:dyDescent="0.2">
      <c r="A317" s="86">
        <v>2259</v>
      </c>
      <c r="B317" s="84" t="s">
        <v>964</v>
      </c>
      <c r="C317" s="85">
        <v>30.75</v>
      </c>
      <c r="D317" s="69">
        <f>'Master Item List'!M165</f>
        <v>34.771666666666661</v>
      </c>
      <c r="E317" s="69" cm="1">
        <f t="array" ref="E317:G317">'Master Item List'!T165:V165</f>
        <v>45.25</v>
      </c>
      <c r="F317" s="69">
        <v>47</v>
      </c>
      <c r="G317" s="69">
        <v>48.75</v>
      </c>
      <c r="H317" s="69">
        <f t="shared" si="21"/>
        <v>-4.0216666666666612</v>
      </c>
      <c r="I317" s="87">
        <f t="shared" si="22"/>
        <v>-0.11565930115515492</v>
      </c>
    </row>
    <row r="318" spans="1:9" ht="37" customHeight="1" x14ac:dyDescent="0.2">
      <c r="A318" s="83">
        <v>770</v>
      </c>
      <c r="B318" s="84" t="s">
        <v>965</v>
      </c>
      <c r="C318" s="85">
        <v>45.5</v>
      </c>
      <c r="D318" s="69">
        <f>'Master Item List'!M164</f>
        <v>20.063571428571429</v>
      </c>
      <c r="E318" s="69" cm="1">
        <f t="array" ref="E318:G318">'Master Item List'!T164:V164</f>
        <v>26</v>
      </c>
      <c r="F318" s="69">
        <v>27</v>
      </c>
      <c r="G318" s="69">
        <v>28</v>
      </c>
      <c r="H318" s="69">
        <f t="shared" si="21"/>
        <v>25.436428571428571</v>
      </c>
      <c r="I318" s="87">
        <f t="shared" si="22"/>
        <v>1.2677916622165259</v>
      </c>
    </row>
    <row r="319" spans="1:9" s="71" customFormat="1" ht="37" hidden="1" customHeight="1" x14ac:dyDescent="0.2">
      <c r="A319" s="76">
        <v>1403</v>
      </c>
      <c r="B319" s="73" t="s">
        <v>966</v>
      </c>
      <c r="C319" s="74">
        <v>999.99</v>
      </c>
      <c r="D319" s="69"/>
      <c r="E319" s="69"/>
      <c r="F319" s="69"/>
      <c r="G319" s="69"/>
      <c r="H319" s="68">
        <f t="shared" si="21"/>
        <v>999.99</v>
      </c>
      <c r="I319" s="70" t="e">
        <f t="shared" si="22"/>
        <v>#DIV/0!</v>
      </c>
    </row>
    <row r="320" spans="1:9" s="71" customFormat="1" ht="37" hidden="1" customHeight="1" x14ac:dyDescent="0.2">
      <c r="A320" s="76">
        <v>1211</v>
      </c>
      <c r="B320" s="73" t="s">
        <v>967</v>
      </c>
      <c r="C320" s="74">
        <v>28</v>
      </c>
      <c r="D320" s="69"/>
      <c r="E320" s="69"/>
      <c r="F320" s="69"/>
      <c r="G320" s="69"/>
      <c r="H320" s="68">
        <f t="shared" si="21"/>
        <v>28</v>
      </c>
      <c r="I320" s="70" t="e">
        <f t="shared" si="22"/>
        <v>#DIV/0!</v>
      </c>
    </row>
    <row r="321" spans="1:9" ht="37" customHeight="1" x14ac:dyDescent="0.2">
      <c r="A321" s="86">
        <v>1243</v>
      </c>
      <c r="B321" s="84" t="s">
        <v>968</v>
      </c>
      <c r="C321" s="85">
        <v>35.5</v>
      </c>
      <c r="D321" s="69">
        <f>'Master Item List'!M301</f>
        <v>21.826470588235296</v>
      </c>
      <c r="E321" s="69" cm="1">
        <f t="array" ref="E321:G321">'Master Item List'!T301:V301</f>
        <v>44.25</v>
      </c>
      <c r="F321" s="69">
        <v>45.5</v>
      </c>
      <c r="G321" s="69">
        <v>46.5</v>
      </c>
      <c r="H321" s="69">
        <f t="shared" si="21"/>
        <v>13.673529411764704</v>
      </c>
      <c r="I321" s="87">
        <f t="shared" si="22"/>
        <v>0.62646543592507742</v>
      </c>
    </row>
    <row r="322" spans="1:9" ht="37" customHeight="1" x14ac:dyDescent="0.2">
      <c r="A322" s="86">
        <v>3119</v>
      </c>
      <c r="B322" s="84" t="s">
        <v>969</v>
      </c>
      <c r="C322" s="85">
        <v>28.5</v>
      </c>
      <c r="D322" s="69">
        <f>'Master Item List'!M146</f>
        <v>19.968333333333334</v>
      </c>
      <c r="E322" s="69" cm="1">
        <f t="array" ref="E322:G322">'Master Item List'!T146:V146</f>
        <v>26</v>
      </c>
      <c r="F322" s="69">
        <v>27</v>
      </c>
      <c r="G322" s="69">
        <v>28</v>
      </c>
      <c r="H322" s="69">
        <f t="shared" si="21"/>
        <v>8.5316666666666663</v>
      </c>
      <c r="I322" s="87">
        <f t="shared" si="22"/>
        <v>0.42725982806109669</v>
      </c>
    </row>
    <row r="323" spans="1:9" ht="37" customHeight="1" x14ac:dyDescent="0.2">
      <c r="A323" s="86">
        <v>4595</v>
      </c>
      <c r="B323" s="84" t="s">
        <v>970</v>
      </c>
      <c r="C323" s="85">
        <v>28.5</v>
      </c>
      <c r="D323" s="69">
        <f>'Master Item List'!M145</f>
        <v>19.968333333333334</v>
      </c>
      <c r="E323" s="69" cm="1">
        <f t="array" ref="E323:G323">'Master Item List'!T145:V145</f>
        <v>26</v>
      </c>
      <c r="F323" s="69">
        <v>27</v>
      </c>
      <c r="G323" s="69">
        <v>28</v>
      </c>
      <c r="H323" s="69">
        <f t="shared" si="21"/>
        <v>8.5316666666666663</v>
      </c>
      <c r="I323" s="87">
        <f t="shared" si="22"/>
        <v>0.42725982806109669</v>
      </c>
    </row>
    <row r="324" spans="1:9" ht="37" customHeight="1" x14ac:dyDescent="0.2">
      <c r="A324" s="86">
        <v>2050</v>
      </c>
      <c r="B324" s="84" t="s">
        <v>971</v>
      </c>
      <c r="C324" s="85">
        <v>28.5</v>
      </c>
      <c r="D324" s="69">
        <f>'Master Item List'!M146</f>
        <v>19.968333333333334</v>
      </c>
      <c r="E324" s="69" cm="1">
        <f t="array" ref="E324:G324">'Master Item List'!T146:V146</f>
        <v>26</v>
      </c>
      <c r="F324" s="69">
        <v>27</v>
      </c>
      <c r="G324" s="69">
        <v>28</v>
      </c>
      <c r="H324" s="69">
        <f t="shared" si="21"/>
        <v>8.5316666666666663</v>
      </c>
      <c r="I324" s="87">
        <f t="shared" si="22"/>
        <v>0.42725982806109669</v>
      </c>
    </row>
    <row r="325" spans="1:9" ht="37" customHeight="1" x14ac:dyDescent="0.2">
      <c r="A325" s="86">
        <v>3177</v>
      </c>
      <c r="B325" s="84" t="s">
        <v>972</v>
      </c>
      <c r="C325" s="85">
        <v>68</v>
      </c>
      <c r="D325" s="69">
        <f>'Master Item List'!M306</f>
        <v>10.725</v>
      </c>
      <c r="E325" s="69" cm="1">
        <f t="array" ref="E325:G325">'Master Item List'!T306:V306</f>
        <v>14</v>
      </c>
      <c r="F325" s="69">
        <v>14.5</v>
      </c>
      <c r="G325" s="69">
        <v>15</v>
      </c>
      <c r="H325" s="69">
        <f t="shared" si="21"/>
        <v>57.274999999999999</v>
      </c>
      <c r="I325" s="87">
        <f t="shared" si="22"/>
        <v>5.3403263403263406</v>
      </c>
    </row>
    <row r="326" spans="1:9" s="71" customFormat="1" ht="37" hidden="1" customHeight="1" x14ac:dyDescent="0.2">
      <c r="A326" s="76">
        <v>3337</v>
      </c>
      <c r="B326" s="73" t="s">
        <v>973</v>
      </c>
      <c r="C326" s="74">
        <f>C321+15</f>
        <v>50.5</v>
      </c>
      <c r="D326" s="69">
        <f>D321+'Raw Cost'!F3</f>
        <v>25.326470588235296</v>
      </c>
      <c r="E326" s="69"/>
      <c r="F326" s="69"/>
      <c r="G326" s="69"/>
      <c r="H326" s="68">
        <f t="shared" si="21"/>
        <v>25.173529411764704</v>
      </c>
      <c r="I326" s="70">
        <f t="shared" si="22"/>
        <v>0.9939612124027406</v>
      </c>
    </row>
    <row r="327" spans="1:9" s="71" customFormat="1" ht="37" hidden="1" customHeight="1" x14ac:dyDescent="0.2">
      <c r="A327" s="76">
        <v>3339</v>
      </c>
      <c r="B327" s="73" t="s">
        <v>974</v>
      </c>
      <c r="C327" s="74">
        <f>C328+15</f>
        <v>67.5</v>
      </c>
      <c r="D327" s="69">
        <f>D328+'Raw Cost'!F3</f>
        <v>25.30850439133987</v>
      </c>
      <c r="E327" s="69"/>
      <c r="F327" s="69"/>
      <c r="G327" s="69"/>
      <c r="H327" s="68">
        <f t="shared" si="21"/>
        <v>42.191495608660134</v>
      </c>
      <c r="I327" s="70">
        <f t="shared" si="22"/>
        <v>1.6670876696727022</v>
      </c>
    </row>
    <row r="328" spans="1:9" ht="37" customHeight="1" x14ac:dyDescent="0.2">
      <c r="A328" s="86">
        <v>3338</v>
      </c>
      <c r="B328" s="84" t="s">
        <v>975</v>
      </c>
      <c r="C328" s="85">
        <v>52.5</v>
      </c>
      <c r="D328" s="69">
        <f>'Combo Pricing'!F34</f>
        <v>21.80850439133987</v>
      </c>
      <c r="E328" s="69" cm="1">
        <f t="array" ref="E328:G328">'Combo Pricing'!L34:N34</f>
        <v>30.5</v>
      </c>
      <c r="F328" s="69">
        <v>31.75</v>
      </c>
      <c r="G328" s="69">
        <v>32.75</v>
      </c>
      <c r="H328" s="69">
        <f t="shared" si="21"/>
        <v>30.69149560866013</v>
      </c>
      <c r="I328" s="87">
        <f t="shared" si="22"/>
        <v>1.4073177627369846</v>
      </c>
    </row>
    <row r="329" spans="1:9" ht="37" customHeight="1" x14ac:dyDescent="0.2">
      <c r="A329" s="86">
        <v>3340</v>
      </c>
      <c r="B329" s="84" t="s">
        <v>976</v>
      </c>
      <c r="C329" s="85">
        <v>48.5</v>
      </c>
      <c r="D329" s="69">
        <v>37.549999999999997</v>
      </c>
      <c r="E329" s="69" cm="1">
        <f t="array" ref="E329:G329">'Combo Pricing'!L37:N37</f>
        <v>43.5</v>
      </c>
      <c r="F329" s="69">
        <v>45</v>
      </c>
      <c r="G329" s="69">
        <v>46.75</v>
      </c>
      <c r="H329" s="69">
        <f t="shared" si="21"/>
        <v>10.950000000000003</v>
      </c>
      <c r="I329" s="87">
        <f t="shared" si="22"/>
        <v>0.29161118508655137</v>
      </c>
    </row>
    <row r="330" spans="1:9" s="71" customFormat="1" ht="37" hidden="1" customHeight="1" x14ac:dyDescent="0.2">
      <c r="A330" s="76">
        <v>3341</v>
      </c>
      <c r="B330" s="73" t="s">
        <v>977</v>
      </c>
      <c r="C330" s="74">
        <f>C329+15</f>
        <v>63.5</v>
      </c>
      <c r="D330" s="69">
        <f>D329+'Raw Cost'!F3</f>
        <v>41.05</v>
      </c>
      <c r="E330" s="69"/>
      <c r="F330" s="69"/>
      <c r="G330" s="69"/>
      <c r="H330" s="68">
        <f t="shared" si="21"/>
        <v>22.450000000000003</v>
      </c>
      <c r="I330" s="70">
        <f t="shared" si="22"/>
        <v>0.54689403166869677</v>
      </c>
    </row>
    <row r="331" spans="1:9" ht="37" customHeight="1" x14ac:dyDescent="0.2">
      <c r="A331" s="86">
        <v>1011</v>
      </c>
      <c r="B331" s="84" t="s">
        <v>978</v>
      </c>
      <c r="C331" s="85">
        <v>40.75</v>
      </c>
      <c r="D331" s="69">
        <f>'Master Item List'!M309</f>
        <v>68.375</v>
      </c>
      <c r="E331" s="69" cm="1">
        <f t="array" ref="E331:G331">'Master Item List'!T309:V309</f>
        <v>89</v>
      </c>
      <c r="F331" s="69">
        <v>92.25</v>
      </c>
      <c r="G331" s="69">
        <v>95.75</v>
      </c>
      <c r="H331" s="69">
        <f t="shared" si="21"/>
        <v>-27.625</v>
      </c>
      <c r="I331" s="87">
        <f t="shared" si="22"/>
        <v>-0.40402193784277879</v>
      </c>
    </row>
    <row r="332" spans="1:9" s="71" customFormat="1" ht="37" hidden="1" customHeight="1" x14ac:dyDescent="0.2">
      <c r="A332" s="76">
        <v>2414</v>
      </c>
      <c r="B332" s="73" t="s">
        <v>979</v>
      </c>
      <c r="C332" s="74">
        <f>C331+15</f>
        <v>55.75</v>
      </c>
      <c r="D332" s="69">
        <f>D331+'Raw Cost'!F1</f>
        <v>77.575000000000003</v>
      </c>
      <c r="E332" s="69"/>
      <c r="F332" s="69"/>
      <c r="G332" s="69"/>
      <c r="H332" s="68">
        <f t="shared" si="21"/>
        <v>-21.825000000000003</v>
      </c>
      <c r="I332" s="70">
        <f t="shared" si="22"/>
        <v>-0.28134063809216892</v>
      </c>
    </row>
    <row r="333" spans="1:9" s="71" customFormat="1" ht="37" hidden="1" customHeight="1" x14ac:dyDescent="0.2">
      <c r="A333" s="76">
        <v>3342</v>
      </c>
      <c r="B333" s="73" t="s">
        <v>980</v>
      </c>
      <c r="C333" s="74">
        <f>C331+15</f>
        <v>55.75</v>
      </c>
      <c r="D333" s="69">
        <f>D331+'Raw Cost'!F3</f>
        <v>71.875</v>
      </c>
      <c r="E333" s="69"/>
      <c r="F333" s="69"/>
      <c r="G333" s="69"/>
      <c r="H333" s="68">
        <f t="shared" si="21"/>
        <v>-16.125</v>
      </c>
      <c r="I333" s="70">
        <f t="shared" si="22"/>
        <v>-0.22434782608695653</v>
      </c>
    </row>
    <row r="334" spans="1:9" ht="37" customHeight="1" x14ac:dyDescent="0.2">
      <c r="A334" s="86">
        <v>3348</v>
      </c>
      <c r="B334" s="84" t="s">
        <v>981</v>
      </c>
      <c r="C334" s="85">
        <v>48.5</v>
      </c>
      <c r="D334" s="69">
        <f>'Combo Pricing'!F33</f>
        <v>49.237499999999997</v>
      </c>
      <c r="E334" s="69" cm="1">
        <f t="array" ref="E334:G334">'Combo Pricing'!L33:N33</f>
        <v>66.25</v>
      </c>
      <c r="F334" s="69">
        <v>68.75</v>
      </c>
      <c r="G334" s="69">
        <v>71.25</v>
      </c>
      <c r="H334" s="69">
        <f t="shared" si="21"/>
        <v>-0.73749999999999716</v>
      </c>
      <c r="I334" s="87">
        <f t="shared" si="22"/>
        <v>-1.4978420919014922E-2</v>
      </c>
    </row>
    <row r="335" spans="1:9" s="71" customFormat="1" ht="37" hidden="1" customHeight="1" x14ac:dyDescent="0.2">
      <c r="A335" s="76">
        <v>3349</v>
      </c>
      <c r="B335" s="73" t="s">
        <v>982</v>
      </c>
      <c r="C335" s="74">
        <f>C334+15</f>
        <v>63.5</v>
      </c>
      <c r="D335" s="69">
        <f>D334+'Raw Cost'!F1</f>
        <v>58.4375</v>
      </c>
      <c r="E335" s="69"/>
      <c r="F335" s="69"/>
      <c r="G335" s="69"/>
      <c r="H335" s="68">
        <f t="shared" si="21"/>
        <v>5.0625</v>
      </c>
      <c r="I335" s="70">
        <f t="shared" si="22"/>
        <v>8.6631016042780742E-2</v>
      </c>
    </row>
    <row r="336" spans="1:9" s="71" customFormat="1" ht="37" hidden="1" customHeight="1" x14ac:dyDescent="0.2">
      <c r="A336" s="76">
        <v>3350</v>
      </c>
      <c r="B336" s="73" t="s">
        <v>983</v>
      </c>
      <c r="C336" s="74">
        <f>C334+15</f>
        <v>63.5</v>
      </c>
      <c r="D336" s="69">
        <f>D334+'Raw Cost'!F3</f>
        <v>52.737499999999997</v>
      </c>
      <c r="E336" s="69"/>
      <c r="F336" s="69"/>
      <c r="G336" s="69"/>
      <c r="H336" s="68">
        <f t="shared" si="21"/>
        <v>10.762500000000003</v>
      </c>
      <c r="I336" s="70">
        <f t="shared" si="22"/>
        <v>0.20407679544915863</v>
      </c>
    </row>
    <row r="337" spans="1:9" ht="37" customHeight="1" x14ac:dyDescent="0.2">
      <c r="A337" s="86">
        <v>2032</v>
      </c>
      <c r="B337" s="84" t="s">
        <v>984</v>
      </c>
      <c r="C337" s="85">
        <v>29.75</v>
      </c>
      <c r="D337" s="69">
        <f>'Master Item List'!M316</f>
        <v>24.891666666666666</v>
      </c>
      <c r="E337" s="69" cm="1">
        <f t="array" ref="E337:G337">'Master Item List'!T316:V316</f>
        <v>32.25</v>
      </c>
      <c r="F337" s="69">
        <v>33.5</v>
      </c>
      <c r="G337" s="69">
        <v>34.75</v>
      </c>
      <c r="H337" s="69">
        <f t="shared" si="21"/>
        <v>4.8583333333333343</v>
      </c>
      <c r="I337" s="87">
        <f t="shared" si="22"/>
        <v>0.19517910947438907</v>
      </c>
    </row>
    <row r="338" spans="1:9" s="71" customFormat="1" ht="37" hidden="1" customHeight="1" x14ac:dyDescent="0.2">
      <c r="A338" s="76">
        <v>3343</v>
      </c>
      <c r="B338" s="73" t="s">
        <v>985</v>
      </c>
      <c r="C338" s="74">
        <f>C337+15</f>
        <v>44.75</v>
      </c>
      <c r="D338" s="69">
        <f>D337+'Raw Cost'!F3</f>
        <v>28.391666666666666</v>
      </c>
      <c r="E338" s="69"/>
      <c r="F338" s="69"/>
      <c r="G338" s="69"/>
      <c r="H338" s="68">
        <f t="shared" si="21"/>
        <v>16.358333333333334</v>
      </c>
      <c r="I338" s="70">
        <f t="shared" si="22"/>
        <v>0.57616671558555921</v>
      </c>
    </row>
    <row r="339" spans="1:9" ht="37" customHeight="1" x14ac:dyDescent="0.2">
      <c r="A339" s="86">
        <v>1241</v>
      </c>
      <c r="B339" s="84" t="s">
        <v>986</v>
      </c>
      <c r="C339" s="85">
        <v>26</v>
      </c>
      <c r="D339" s="69" t="e">
        <f>'Master Item List'!#REF!</f>
        <v>#REF!</v>
      </c>
      <c r="E339" s="69" t="e" cm="1">
        <f t="array" ref="E339">'Master Item List'!#REF!</f>
        <v>#REF!</v>
      </c>
      <c r="F339" s="69"/>
      <c r="G339" s="69"/>
      <c r="H339" s="69" t="e">
        <f t="shared" si="21"/>
        <v>#REF!</v>
      </c>
      <c r="I339" s="87" t="e">
        <f t="shared" si="22"/>
        <v>#REF!</v>
      </c>
    </row>
    <row r="340" spans="1:9" ht="37" customHeight="1" x14ac:dyDescent="0.2">
      <c r="A340" s="86">
        <v>3153</v>
      </c>
      <c r="B340" s="84" t="s">
        <v>987</v>
      </c>
      <c r="C340" s="85">
        <v>49.5</v>
      </c>
      <c r="D340" s="69">
        <f>'Master Item List'!M331</f>
        <v>18.851250000000004</v>
      </c>
      <c r="E340" s="69" cm="1">
        <f t="array" ref="E340:G340">'Master Item List'!T331:V331</f>
        <v>24.5</v>
      </c>
      <c r="F340" s="69">
        <v>25.5</v>
      </c>
      <c r="G340" s="69">
        <v>26.5</v>
      </c>
      <c r="H340" s="69">
        <f t="shared" si="21"/>
        <v>30.648749999999996</v>
      </c>
      <c r="I340" s="87">
        <f t="shared" si="22"/>
        <v>1.6258205689277894</v>
      </c>
    </row>
    <row r="341" spans="1:9" s="71" customFormat="1" ht="37" hidden="1" customHeight="1" x14ac:dyDescent="0.2">
      <c r="A341" s="76">
        <v>3351</v>
      </c>
      <c r="B341" s="73" t="s">
        <v>988</v>
      </c>
      <c r="C341" s="74">
        <f>C340+15</f>
        <v>64.5</v>
      </c>
      <c r="D341" s="69">
        <f>D340+'Raw Cost'!F1</f>
        <v>28.051250000000003</v>
      </c>
      <c r="E341" s="69"/>
      <c r="F341" s="69"/>
      <c r="G341" s="69"/>
      <c r="H341" s="68">
        <f t="shared" si="21"/>
        <v>36.448749999999997</v>
      </c>
      <c r="I341" s="70">
        <f t="shared" si="22"/>
        <v>1.299362773494942</v>
      </c>
    </row>
    <row r="342" spans="1:9" s="71" customFormat="1" ht="37" hidden="1" customHeight="1" x14ac:dyDescent="0.2">
      <c r="A342" s="76">
        <v>3352</v>
      </c>
      <c r="B342" s="73" t="s">
        <v>989</v>
      </c>
      <c r="C342" s="74">
        <f>C340+15</f>
        <v>64.5</v>
      </c>
      <c r="D342" s="69">
        <f>D340+'Raw Cost'!F3</f>
        <v>22.351250000000004</v>
      </c>
      <c r="E342" s="69"/>
      <c r="F342" s="69"/>
      <c r="G342" s="69"/>
      <c r="H342" s="68">
        <f t="shared" si="21"/>
        <v>42.148749999999993</v>
      </c>
      <c r="I342" s="70">
        <f t="shared" si="22"/>
        <v>1.8857446451540736</v>
      </c>
    </row>
    <row r="343" spans="1:9" ht="37" customHeight="1" x14ac:dyDescent="0.2">
      <c r="A343" s="83">
        <v>481</v>
      </c>
      <c r="B343" s="84" t="s">
        <v>990</v>
      </c>
      <c r="C343" s="85">
        <v>41.75</v>
      </c>
      <c r="D343" s="69">
        <f>'Master Item List'!M155</f>
        <v>30.475000000000001</v>
      </c>
      <c r="E343" s="69" cm="1">
        <f t="array" ref="E343:G343">'Master Item List'!T155:V155</f>
        <v>39.5</v>
      </c>
      <c r="F343" s="69">
        <v>41.25</v>
      </c>
      <c r="G343" s="69">
        <v>42.75</v>
      </c>
      <c r="H343" s="69">
        <f t="shared" si="21"/>
        <v>11.274999999999999</v>
      </c>
      <c r="I343" s="87">
        <f t="shared" si="22"/>
        <v>0.36997538966365867</v>
      </c>
    </row>
    <row r="344" spans="1:9" ht="37" customHeight="1" x14ac:dyDescent="0.2">
      <c r="A344" s="86">
        <v>3240</v>
      </c>
      <c r="B344" s="84" t="s">
        <v>991</v>
      </c>
      <c r="C344" s="85">
        <v>54.5</v>
      </c>
      <c r="D344" s="69">
        <f>'Master Item List'!M159</f>
        <v>29.594999999999999</v>
      </c>
      <c r="E344" s="69" cm="1">
        <f t="array" ref="E344:G344">'Master Item List'!T159:V159</f>
        <v>38.5</v>
      </c>
      <c r="F344" s="69">
        <v>40</v>
      </c>
      <c r="G344" s="69">
        <v>41.5</v>
      </c>
      <c r="H344" s="69">
        <f t="shared" si="21"/>
        <v>24.905000000000001</v>
      </c>
      <c r="I344" s="87">
        <f t="shared" si="22"/>
        <v>0.84152728501436058</v>
      </c>
    </row>
    <row r="345" spans="1:9" ht="37" customHeight="1" x14ac:dyDescent="0.2">
      <c r="A345" s="84" t="s">
        <v>992</v>
      </c>
      <c r="B345" s="84" t="s">
        <v>993</v>
      </c>
      <c r="C345" s="85">
        <v>65.5</v>
      </c>
      <c r="D345" s="69">
        <f>'Master Item List'!M157</f>
        <v>19.135000000000002</v>
      </c>
      <c r="E345" s="69" cm="1">
        <f t="array" ref="E345:G345">'Master Item List'!T157:V157</f>
        <v>25</v>
      </c>
      <c r="F345" s="69">
        <v>25.75</v>
      </c>
      <c r="G345" s="69">
        <v>26.75</v>
      </c>
      <c r="H345" s="69">
        <f t="shared" si="21"/>
        <v>46.364999999999995</v>
      </c>
      <c r="I345" s="87">
        <f t="shared" si="22"/>
        <v>2.4230467729291867</v>
      </c>
    </row>
    <row r="346" spans="1:9" ht="37" customHeight="1" x14ac:dyDescent="0.2">
      <c r="A346" s="86">
        <v>1196</v>
      </c>
      <c r="B346" s="84" t="s">
        <v>994</v>
      </c>
      <c r="C346" s="85">
        <v>33.75</v>
      </c>
      <c r="D346" s="69">
        <f>'Master Item List'!M257</f>
        <v>25.183055555555555</v>
      </c>
      <c r="E346" s="69" cm="1">
        <f t="array" ref="E346:G346">'Master Item List'!T257:V257</f>
        <v>48.75</v>
      </c>
      <c r="F346" s="69">
        <v>50</v>
      </c>
      <c r="G346" s="69">
        <v>51.25</v>
      </c>
      <c r="H346" s="69">
        <f t="shared" si="21"/>
        <v>8.5669444444444451</v>
      </c>
      <c r="I346" s="87">
        <f t="shared" si="22"/>
        <v>0.34018685403545157</v>
      </c>
    </row>
    <row r="347" spans="1:9" ht="37" customHeight="1" x14ac:dyDescent="0.2">
      <c r="A347" s="86">
        <v>2029</v>
      </c>
      <c r="B347" s="84" t="s">
        <v>995</v>
      </c>
      <c r="C347" s="85">
        <v>44.5</v>
      </c>
      <c r="D347" s="69">
        <f>D346+12</f>
        <v>37.183055555555555</v>
      </c>
      <c r="E347" s="69">
        <f>E346+12</f>
        <v>60.75</v>
      </c>
      <c r="F347" s="69">
        <f>F346+12</f>
        <v>62</v>
      </c>
      <c r="G347" s="69">
        <f>G346+12</f>
        <v>63.25</v>
      </c>
      <c r="H347" s="69">
        <f t="shared" ref="H347:H364" si="23">C347-D347</f>
        <v>7.3169444444444451</v>
      </c>
      <c r="I347" s="87">
        <f t="shared" ref="I347:I364" si="24">H347/D347</f>
        <v>0.19678168819429401</v>
      </c>
    </row>
    <row r="348" spans="1:9" s="71" customFormat="1" ht="37" hidden="1" customHeight="1" x14ac:dyDescent="0.2">
      <c r="A348" s="76">
        <v>2415</v>
      </c>
      <c r="B348" s="73" t="s">
        <v>996</v>
      </c>
      <c r="C348" s="74">
        <f>C346+15</f>
        <v>48.75</v>
      </c>
      <c r="D348" s="69">
        <f>D346+'Raw Cost'!F1</f>
        <v>34.383055555555558</v>
      </c>
      <c r="E348" s="69"/>
      <c r="F348" s="69"/>
      <c r="G348" s="69"/>
      <c r="H348" s="68">
        <f t="shared" si="23"/>
        <v>14.366944444444442</v>
      </c>
      <c r="I348" s="70">
        <f t="shared" si="24"/>
        <v>0.41784955444784649</v>
      </c>
    </row>
    <row r="349" spans="1:9" s="71" customFormat="1" ht="37" hidden="1" customHeight="1" x14ac:dyDescent="0.2">
      <c r="A349" s="76">
        <v>1208</v>
      </c>
      <c r="B349" s="73" t="s">
        <v>997</v>
      </c>
      <c r="C349" s="74">
        <f>C346+15</f>
        <v>48.75</v>
      </c>
      <c r="D349" s="69">
        <f>D346+'Raw Cost'!F3</f>
        <v>28.683055555555555</v>
      </c>
      <c r="E349" s="69"/>
      <c r="F349" s="69"/>
      <c r="G349" s="69"/>
      <c r="H349" s="68">
        <f t="shared" si="23"/>
        <v>20.066944444444445</v>
      </c>
      <c r="I349" s="70">
        <f t="shared" si="24"/>
        <v>0.69960971924965387</v>
      </c>
    </row>
    <row r="350" spans="1:9" ht="37" customHeight="1" x14ac:dyDescent="0.2">
      <c r="A350" s="83">
        <v>773</v>
      </c>
      <c r="B350" s="84" t="s">
        <v>998</v>
      </c>
      <c r="C350" s="85">
        <v>41.25</v>
      </c>
      <c r="D350" s="69">
        <f>'Master Item List'!M158</f>
        <v>43.919444444444444</v>
      </c>
      <c r="E350" s="69" cm="1">
        <f t="array" ref="E350:G350">'Master Item List'!T158:V158</f>
        <v>57</v>
      </c>
      <c r="F350" s="69">
        <v>59.25</v>
      </c>
      <c r="G350" s="69">
        <v>61.5</v>
      </c>
      <c r="H350" s="69">
        <f t="shared" si="23"/>
        <v>-2.6694444444444443</v>
      </c>
      <c r="I350" s="87">
        <f t="shared" si="24"/>
        <v>-6.0780469293529815E-2</v>
      </c>
    </row>
    <row r="351" spans="1:9" ht="37" customHeight="1" x14ac:dyDescent="0.2">
      <c r="A351" s="89">
        <v>5155</v>
      </c>
      <c r="B351" s="84" t="s">
        <v>999</v>
      </c>
      <c r="C351" s="85">
        <v>50.5</v>
      </c>
      <c r="D351" s="69">
        <f>'Combo Pricing'!F38</f>
        <v>25.454412878787881</v>
      </c>
      <c r="E351" s="69" cm="1">
        <f t="array" ref="E351:G351">'Combo Pricing'!L38:N38</f>
        <v>35.25</v>
      </c>
      <c r="F351" s="69">
        <v>36.5</v>
      </c>
      <c r="G351" s="69">
        <v>38</v>
      </c>
      <c r="H351" s="69">
        <f t="shared" si="23"/>
        <v>25.045587121212119</v>
      </c>
      <c r="I351" s="87">
        <f t="shared" si="24"/>
        <v>0.98393890444369858</v>
      </c>
    </row>
    <row r="352" spans="1:9" ht="37" customHeight="1" x14ac:dyDescent="0.2">
      <c r="A352" s="86">
        <v>4682</v>
      </c>
      <c r="B352" s="84" t="s">
        <v>1000</v>
      </c>
      <c r="C352" s="85">
        <v>38</v>
      </c>
      <c r="D352" s="69">
        <f>'Master Item List'!M119</f>
        <v>31.201666666666668</v>
      </c>
      <c r="E352" s="69" cm="1">
        <f t="array" ref="E352:G352">'Master Item List'!T119:V119+4</f>
        <v>44.5</v>
      </c>
      <c r="F352" s="69">
        <v>46</v>
      </c>
      <c r="G352" s="69">
        <v>47.75</v>
      </c>
      <c r="H352" s="69">
        <f t="shared" si="23"/>
        <v>6.798333333333332</v>
      </c>
      <c r="I352" s="87">
        <f t="shared" si="24"/>
        <v>0.21788366006089413</v>
      </c>
    </row>
    <row r="353" spans="1:9" ht="37" customHeight="1" x14ac:dyDescent="0.2">
      <c r="A353" s="86">
        <v>1291</v>
      </c>
      <c r="B353" s="84" t="s">
        <v>1001</v>
      </c>
      <c r="C353" s="85">
        <v>31.25</v>
      </c>
      <c r="D353" s="69">
        <f>'Master Item List'!M160</f>
        <v>19.808333333333334</v>
      </c>
      <c r="E353" s="69" cm="1">
        <f t="array" ref="E353:G353">'Master Item List'!T160:V160</f>
        <v>25.75</v>
      </c>
      <c r="F353" s="69">
        <v>26.75</v>
      </c>
      <c r="G353" s="69">
        <v>27.75</v>
      </c>
      <c r="H353" s="69">
        <f t="shared" si="23"/>
        <v>11.441666666666666</v>
      </c>
      <c r="I353" s="87">
        <f t="shared" si="24"/>
        <v>0.5776188472864956</v>
      </c>
    </row>
    <row r="354" spans="1:9" ht="37" customHeight="1" x14ac:dyDescent="0.2">
      <c r="A354" s="86">
        <v>4630</v>
      </c>
      <c r="B354" s="84" t="s">
        <v>1002</v>
      </c>
      <c r="C354" s="85">
        <v>28.75</v>
      </c>
      <c r="D354" s="69">
        <f>'Master Item List'!M317</f>
        <v>49.058333333333337</v>
      </c>
      <c r="E354" s="69" cm="1">
        <f t="array" ref="E354:G354">'Master Item List'!T317:V317</f>
        <v>63.75</v>
      </c>
      <c r="F354" s="69">
        <v>66.25</v>
      </c>
      <c r="G354" s="69">
        <v>68.75</v>
      </c>
      <c r="H354" s="69">
        <f t="shared" si="23"/>
        <v>-20.308333333333337</v>
      </c>
      <c r="I354" s="87">
        <f t="shared" si="24"/>
        <v>-0.41396296925428916</v>
      </c>
    </row>
    <row r="355" spans="1:9" s="71" customFormat="1" ht="37" hidden="1" customHeight="1" x14ac:dyDescent="0.2">
      <c r="A355" s="76">
        <v>2430</v>
      </c>
      <c r="B355" s="73" t="s">
        <v>1003</v>
      </c>
      <c r="C355" s="74">
        <f>C354+15</f>
        <v>43.75</v>
      </c>
      <c r="D355" s="69">
        <f>D354+'Raw Cost'!F1</f>
        <v>58.25833333333334</v>
      </c>
      <c r="E355" s="69"/>
      <c r="F355" s="69"/>
      <c r="G355" s="69"/>
      <c r="H355" s="68">
        <f t="shared" si="23"/>
        <v>-14.50833333333334</v>
      </c>
      <c r="I355" s="70">
        <f t="shared" si="24"/>
        <v>-0.24903447289372058</v>
      </c>
    </row>
    <row r="356" spans="1:9" ht="37" customHeight="1" x14ac:dyDescent="0.2">
      <c r="A356" s="86">
        <v>1032</v>
      </c>
      <c r="B356" s="84" t="s">
        <v>1004</v>
      </c>
      <c r="C356" s="85">
        <v>30.5</v>
      </c>
      <c r="D356" s="69">
        <f>'Master Item List'!M161</f>
        <v>22.186111111111114</v>
      </c>
      <c r="E356" s="69" cm="1">
        <f t="array" ref="E356:G356">'Master Item List'!T161:V161</f>
        <v>28.75</v>
      </c>
      <c r="F356" s="69">
        <v>30</v>
      </c>
      <c r="G356" s="69">
        <v>31</v>
      </c>
      <c r="H356" s="69">
        <f t="shared" si="23"/>
        <v>8.3138888888888864</v>
      </c>
      <c r="I356" s="87">
        <f t="shared" si="24"/>
        <v>0.3747339426568172</v>
      </c>
    </row>
    <row r="357" spans="1:9" ht="37" customHeight="1" x14ac:dyDescent="0.2">
      <c r="A357" s="83">
        <v>971</v>
      </c>
      <c r="B357" s="84" t="s">
        <v>1005</v>
      </c>
      <c r="C357" s="85">
        <v>30.5</v>
      </c>
      <c r="D357" s="69">
        <f>'Master Item List'!M161</f>
        <v>22.186111111111114</v>
      </c>
      <c r="E357" s="69" cm="1">
        <f t="array" ref="E357:G357">'Master Item List'!T161:V161</f>
        <v>28.75</v>
      </c>
      <c r="F357" s="69">
        <v>30</v>
      </c>
      <c r="G357" s="69">
        <v>31</v>
      </c>
      <c r="H357" s="69">
        <f t="shared" si="23"/>
        <v>8.3138888888888864</v>
      </c>
      <c r="I357" s="87">
        <f t="shared" si="24"/>
        <v>0.3747339426568172</v>
      </c>
    </row>
    <row r="358" spans="1:9" ht="37" customHeight="1" x14ac:dyDescent="0.2">
      <c r="A358" s="86">
        <v>2988</v>
      </c>
      <c r="B358" s="84" t="s">
        <v>1006</v>
      </c>
      <c r="C358" s="85">
        <v>45.5</v>
      </c>
      <c r="D358" s="69">
        <f>'Master Item List'!M162</f>
        <v>35.797222222222217</v>
      </c>
      <c r="E358" s="69" cm="1">
        <f t="array" ref="E358:G358">'Master Item List'!T162:V162</f>
        <v>46.5</v>
      </c>
      <c r="F358" s="69">
        <v>48.25</v>
      </c>
      <c r="G358" s="69">
        <v>50</v>
      </c>
      <c r="H358" s="69">
        <f t="shared" si="23"/>
        <v>9.7027777777777828</v>
      </c>
      <c r="I358" s="87">
        <f t="shared" si="24"/>
        <v>0.27104834329168948</v>
      </c>
    </row>
    <row r="359" spans="1:9" s="71" customFormat="1" ht="37" hidden="1" customHeight="1" x14ac:dyDescent="0.2">
      <c r="A359" s="76">
        <v>1418</v>
      </c>
      <c r="B359" s="73" t="s">
        <v>1007</v>
      </c>
      <c r="C359" s="74">
        <v>999.99</v>
      </c>
      <c r="D359" s="69"/>
      <c r="E359" s="69"/>
      <c r="F359" s="69"/>
      <c r="G359" s="69"/>
      <c r="H359" s="68">
        <f t="shared" si="23"/>
        <v>999.99</v>
      </c>
      <c r="I359" s="70" t="e">
        <f t="shared" si="24"/>
        <v>#DIV/0!</v>
      </c>
    </row>
    <row r="360" spans="1:9" ht="37" customHeight="1" x14ac:dyDescent="0.2">
      <c r="A360" s="86">
        <v>1266</v>
      </c>
      <c r="B360" s="84" t="s">
        <v>1008</v>
      </c>
      <c r="C360" s="85">
        <v>40.5</v>
      </c>
      <c r="D360" s="69">
        <f>'Master Item List'!M54</f>
        <v>33.908333333333324</v>
      </c>
      <c r="E360" s="69" cm="1">
        <f t="array" ref="E360:G360">'Master Item List'!T54:V54</f>
        <v>44</v>
      </c>
      <c r="F360" s="69">
        <v>45.75</v>
      </c>
      <c r="G360" s="69">
        <v>47.5</v>
      </c>
      <c r="H360" s="69">
        <f t="shared" si="23"/>
        <v>6.5916666666666757</v>
      </c>
      <c r="I360" s="87">
        <f t="shared" si="24"/>
        <v>0.19439665765544392</v>
      </c>
    </row>
    <row r="361" spans="1:9" ht="37" customHeight="1" x14ac:dyDescent="0.2">
      <c r="A361" s="86">
        <v>3022</v>
      </c>
      <c r="B361" s="84" t="s">
        <v>1009</v>
      </c>
      <c r="C361" s="85">
        <v>32</v>
      </c>
      <c r="D361" s="69" cm="1">
        <f t="array" ref="D361:G361">D293:G293</f>
        <v>18.504999999999999</v>
      </c>
      <c r="E361" s="69">
        <v>24</v>
      </c>
      <c r="F361" s="69">
        <v>25</v>
      </c>
      <c r="G361" s="69">
        <v>26</v>
      </c>
      <c r="H361" s="69">
        <f t="shared" si="23"/>
        <v>13.495000000000001</v>
      </c>
      <c r="I361" s="87">
        <f t="shared" si="24"/>
        <v>0.72926236152391255</v>
      </c>
    </row>
    <row r="362" spans="1:9" ht="37" customHeight="1" x14ac:dyDescent="0.2">
      <c r="A362" s="86">
        <v>2028</v>
      </c>
      <c r="B362" s="84" t="s">
        <v>1010</v>
      </c>
      <c r="C362" s="85">
        <v>36.25</v>
      </c>
      <c r="D362" s="69">
        <f>'Master Item List'!M322</f>
        <v>29.475000000000001</v>
      </c>
      <c r="E362" s="69" cm="1">
        <f t="array" ref="E362:G362">'Master Item List'!T322:V322</f>
        <v>54.25</v>
      </c>
      <c r="F362" s="69">
        <v>55.75</v>
      </c>
      <c r="G362" s="69">
        <v>57.25</v>
      </c>
      <c r="H362" s="69">
        <f t="shared" si="23"/>
        <v>6.7749999999999986</v>
      </c>
      <c r="I362" s="87">
        <f t="shared" si="24"/>
        <v>0.22985581000848171</v>
      </c>
    </row>
    <row r="363" spans="1:9" ht="37" customHeight="1" x14ac:dyDescent="0.2">
      <c r="A363" s="86">
        <v>1265</v>
      </c>
      <c r="B363" s="84" t="s">
        <v>1011</v>
      </c>
      <c r="C363" s="85">
        <v>28.5</v>
      </c>
      <c r="D363" s="69">
        <f>'Master Item List'!M163</f>
        <v>16.131535947712418</v>
      </c>
      <c r="E363" s="69" cm="1">
        <f t="array" ref="E363:G363">'Master Item List'!T163:V163</f>
        <v>21</v>
      </c>
      <c r="F363" s="69">
        <v>21.75</v>
      </c>
      <c r="G363" s="69">
        <v>22.5</v>
      </c>
      <c r="H363" s="69">
        <f t="shared" si="23"/>
        <v>12.368464052287582</v>
      </c>
      <c r="I363" s="87">
        <f t="shared" si="24"/>
        <v>0.76672575335527982</v>
      </c>
    </row>
    <row r="364" spans="1:9" s="71" customFormat="1" ht="37" hidden="1" customHeight="1" x14ac:dyDescent="0.2">
      <c r="A364" s="76">
        <v>3346</v>
      </c>
      <c r="B364" s="73" t="s">
        <v>1012</v>
      </c>
      <c r="C364" s="74">
        <f>C362+15</f>
        <v>51.25</v>
      </c>
      <c r="D364" s="69">
        <f>D362+'Raw Cost'!F3</f>
        <v>32.975000000000001</v>
      </c>
      <c r="E364" s="69"/>
      <c r="F364" s="69"/>
      <c r="G364" s="69"/>
      <c r="H364" s="68">
        <f t="shared" si="23"/>
        <v>18.274999999999999</v>
      </c>
      <c r="I364" s="70">
        <f t="shared" si="24"/>
        <v>0.5542077331311599</v>
      </c>
    </row>
    <row r="367" spans="1:9" ht="37" customHeight="1" x14ac:dyDescent="0.2">
      <c r="I367" s="77"/>
    </row>
  </sheetData>
  <autoFilter ref="A1:I364" xr:uid="{FD039EED-36B6-6C4B-882C-0CA6DB8FD053}">
    <filterColumn colId="1">
      <customFilters>
        <customFilter operator="notEqual" val="TAJIN"/>
      </customFilters>
    </filterColumn>
  </autoFilter>
  <conditionalFormatting sqref="H2:H363">
    <cfRule type="cellIs" dxfId="6" priority="2" operator="lessThan">
      <formula>$K$3</formula>
    </cfRule>
    <cfRule type="cellIs" dxfId="5" priority="3" operator="greaterThan">
      <formula>$L$3</formula>
    </cfRule>
  </conditionalFormatting>
  <conditionalFormatting sqref="I1:I366 I368:I1048576">
    <cfRule type="cellIs" dxfId="4" priority="1" operator="lessThan">
      <formula>$K$2</formula>
    </cfRule>
    <cfRule type="cellIs" dxfId="3" priority="6" stopIfTrue="1" operator="greaterThan">
      <formula>$M$2</formula>
    </cfRule>
  </conditionalFormatting>
  <conditionalFormatting sqref="I2">
    <cfRule type="expression" dxfId="2" priority="8">
      <formula>$I$2&gt;$L$2</formula>
    </cfRule>
    <cfRule type="expression" dxfId="1" priority="9" stopIfTrue="1">
      <formula>$I$2&lt;$K$2</formula>
    </cfRule>
  </conditionalFormatting>
  <pageMargins left="0.25" right="0.25" top="0.75" bottom="0.75" header="0.3" footer="0.3"/>
  <pageSetup scale="56" fitToHeight="11" orientation="portrait" horizontalDpi="0" verticalDpi="0"/>
  <headerFooter>
    <oddHeader>&amp;C&amp;"Calibri (Body),Bold"&amp;26&amp;K000000MARK UP FOR MARCH 23, 2026</oddHead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operator="containsText" id="{9E4B0BA9-B2A1-124F-B1D9-4A98291533E5}">
            <xm:f>NOT(ISERROR(SEARCH("-",J3)))</xm:f>
            <xm:f>"-"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4CFC8-B93F-4348-990D-1BA6DD47A675}">
  <dimension ref="A1:E24"/>
  <sheetViews>
    <sheetView workbookViewId="0"/>
  </sheetViews>
  <sheetFormatPr baseColWidth="10" defaultColWidth="11.1640625" defaultRowHeight="16" x14ac:dyDescent="0.2"/>
  <cols>
    <col min="1" max="1" width="13.5" style="3" customWidth="1"/>
  </cols>
  <sheetData>
    <row r="1" spans="1:5" x14ac:dyDescent="0.2">
      <c r="A1" s="3" t="s">
        <v>367</v>
      </c>
    </row>
    <row r="2" spans="1:5" x14ac:dyDescent="0.2">
      <c r="A2" s="15">
        <v>23.5</v>
      </c>
      <c r="C2" t="s">
        <v>569</v>
      </c>
    </row>
    <row r="5" spans="1:5" x14ac:dyDescent="0.2">
      <c r="E5">
        <v>16.25</v>
      </c>
    </row>
    <row r="6" spans="1:5" x14ac:dyDescent="0.2">
      <c r="E6">
        <v>17.25</v>
      </c>
    </row>
    <row r="7" spans="1:5" x14ac:dyDescent="0.2">
      <c r="E7">
        <v>18</v>
      </c>
    </row>
    <row r="8" spans="1:5" x14ac:dyDescent="0.2">
      <c r="E8">
        <v>18.53</v>
      </c>
    </row>
    <row r="9" spans="1:5" x14ac:dyDescent="0.2">
      <c r="E9">
        <v>16.25</v>
      </c>
    </row>
    <row r="10" spans="1:5" x14ac:dyDescent="0.2">
      <c r="E10">
        <v>16.25</v>
      </c>
    </row>
    <row r="11" spans="1:5" x14ac:dyDescent="0.2">
      <c r="E11">
        <v>16.25</v>
      </c>
    </row>
    <row r="12" spans="1:5" x14ac:dyDescent="0.2">
      <c r="E12">
        <v>24</v>
      </c>
    </row>
    <row r="13" spans="1:5" x14ac:dyDescent="0.2">
      <c r="E13">
        <v>30</v>
      </c>
    </row>
    <row r="14" spans="1:5" x14ac:dyDescent="0.2">
      <c r="E14">
        <v>17</v>
      </c>
    </row>
    <row r="15" spans="1:5" x14ac:dyDescent="0.2">
      <c r="E15">
        <v>23.5</v>
      </c>
    </row>
    <row r="16" spans="1:5" x14ac:dyDescent="0.2">
      <c r="E16">
        <v>18.5</v>
      </c>
    </row>
    <row r="17" spans="5:5" x14ac:dyDescent="0.2">
      <c r="E17">
        <v>17.5</v>
      </c>
    </row>
    <row r="18" spans="5:5" x14ac:dyDescent="0.2">
      <c r="E18">
        <v>17</v>
      </c>
    </row>
    <row r="19" spans="5:5" x14ac:dyDescent="0.2">
      <c r="E19">
        <v>16</v>
      </c>
    </row>
    <row r="20" spans="5:5" x14ac:dyDescent="0.2">
      <c r="E20">
        <v>18</v>
      </c>
    </row>
    <row r="21" spans="5:5" x14ac:dyDescent="0.2">
      <c r="E21">
        <v>13.5</v>
      </c>
    </row>
    <row r="22" spans="5:5" x14ac:dyDescent="0.2">
      <c r="E22">
        <v>16</v>
      </c>
    </row>
    <row r="23" spans="5:5" x14ac:dyDescent="0.2">
      <c r="E23">
        <v>17.25</v>
      </c>
    </row>
    <row r="24" spans="5:5" x14ac:dyDescent="0.2">
      <c r="E24">
        <f>SUM(E5:E23)</f>
        <v>347.03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59EA2-2B77-344D-BD5A-93C8E3CF2FB3}">
  <sheetPr>
    <pageSetUpPr fitToPage="1"/>
  </sheetPr>
  <dimension ref="A1:G21"/>
  <sheetViews>
    <sheetView workbookViewId="0">
      <selection sqref="A1:C21"/>
    </sheetView>
  </sheetViews>
  <sheetFormatPr baseColWidth="10" defaultRowHeight="16" x14ac:dyDescent="0.2"/>
  <cols>
    <col min="1" max="1" width="33.33203125" customWidth="1"/>
    <col min="2" max="2" width="23.6640625" customWidth="1"/>
    <col min="3" max="3" width="17.1640625" customWidth="1"/>
    <col min="5" max="5" width="32.6640625" customWidth="1"/>
    <col min="6" max="6" width="24.33203125" customWidth="1"/>
    <col min="7" max="7" width="20.6640625" customWidth="1"/>
  </cols>
  <sheetData>
    <row r="1" spans="1:7" ht="32" customHeight="1" x14ac:dyDescent="0.2">
      <c r="A1" s="103" t="s">
        <v>1271</v>
      </c>
      <c r="B1" s="103"/>
      <c r="C1" s="103"/>
      <c r="D1" s="24"/>
      <c r="E1" s="103" t="s">
        <v>1104</v>
      </c>
      <c r="F1" s="103"/>
      <c r="G1" s="103"/>
    </row>
    <row r="2" spans="1:7" ht="32" customHeight="1" x14ac:dyDescent="0.2">
      <c r="A2" s="22" t="s">
        <v>593</v>
      </c>
      <c r="B2" s="22" t="s">
        <v>642</v>
      </c>
      <c r="C2" s="22" t="s">
        <v>643</v>
      </c>
      <c r="D2" s="24"/>
      <c r="E2" s="22" t="s">
        <v>593</v>
      </c>
      <c r="F2" s="22" t="s">
        <v>642</v>
      </c>
      <c r="G2" s="22" t="s">
        <v>643</v>
      </c>
    </row>
    <row r="3" spans="1:7" ht="25" customHeight="1" x14ac:dyDescent="0.2">
      <c r="A3" s="8" t="s">
        <v>628</v>
      </c>
      <c r="B3" s="67">
        <f>'Master Item List'!U384</f>
        <v>15</v>
      </c>
      <c r="C3" s="67">
        <f>MROUND((B3/8),0.05)</f>
        <v>1.9000000000000001</v>
      </c>
      <c r="E3" s="8" t="s">
        <v>628</v>
      </c>
      <c r="F3" s="67">
        <f>'Master Item List'!T366</f>
        <v>22.25</v>
      </c>
      <c r="G3" s="67">
        <f>F3/8</f>
        <v>2.78125</v>
      </c>
    </row>
    <row r="4" spans="1:7" ht="25" customHeight="1" x14ac:dyDescent="0.2">
      <c r="A4" s="8" t="s">
        <v>629</v>
      </c>
      <c r="B4" s="67">
        <f>'Master Item List'!U385</f>
        <v>14.25</v>
      </c>
      <c r="C4" s="67">
        <f t="shared" ref="C4:C18" si="0">MROUND((B4/8),0.05)</f>
        <v>1.8</v>
      </c>
      <c r="E4" s="8" t="s">
        <v>629</v>
      </c>
      <c r="F4" s="67">
        <f>'Master Item List'!T367</f>
        <v>20.25</v>
      </c>
      <c r="G4" s="67">
        <f t="shared" ref="G4:G18" si="1">F4/8</f>
        <v>2.53125</v>
      </c>
    </row>
    <row r="5" spans="1:7" ht="25" customHeight="1" x14ac:dyDescent="0.2">
      <c r="A5" s="8" t="s">
        <v>630</v>
      </c>
      <c r="B5" s="67">
        <f>'Master Item List'!U386</f>
        <v>41.25</v>
      </c>
      <c r="C5" s="67">
        <f t="shared" si="0"/>
        <v>5.15</v>
      </c>
      <c r="E5" s="8" t="s">
        <v>630</v>
      </c>
      <c r="F5" s="67">
        <f>'Master Item List'!T368</f>
        <v>72.5</v>
      </c>
      <c r="G5" s="67">
        <f t="shared" si="1"/>
        <v>9.0625</v>
      </c>
    </row>
    <row r="6" spans="1:7" ht="25" customHeight="1" x14ac:dyDescent="0.2">
      <c r="A6" s="8" t="s">
        <v>634</v>
      </c>
      <c r="B6" s="67">
        <f>'Master Item List'!U387</f>
        <v>13.25</v>
      </c>
      <c r="C6" s="67">
        <f t="shared" si="0"/>
        <v>1.6500000000000001</v>
      </c>
      <c r="E6" s="8" t="s">
        <v>634</v>
      </c>
      <c r="F6" s="67">
        <f>'Master Item List'!T369</f>
        <v>18.75</v>
      </c>
      <c r="G6" s="67">
        <f t="shared" si="1"/>
        <v>2.34375</v>
      </c>
    </row>
    <row r="7" spans="1:7" ht="25" customHeight="1" x14ac:dyDescent="0.2">
      <c r="A7" s="8" t="s">
        <v>633</v>
      </c>
      <c r="B7" s="67">
        <f>'Master Item List'!U388</f>
        <v>17.25</v>
      </c>
      <c r="C7" s="67">
        <f t="shared" si="0"/>
        <v>2.15</v>
      </c>
      <c r="E7" s="8" t="s">
        <v>633</v>
      </c>
      <c r="F7" s="67">
        <f>'Master Item List'!T370</f>
        <v>26</v>
      </c>
      <c r="G7" s="67">
        <f t="shared" si="1"/>
        <v>3.25</v>
      </c>
    </row>
    <row r="8" spans="1:7" ht="25" customHeight="1" x14ac:dyDescent="0.2">
      <c r="A8" s="8" t="s">
        <v>632</v>
      </c>
      <c r="B8" s="67">
        <f>'Master Item List'!U389</f>
        <v>19</v>
      </c>
      <c r="C8" s="67">
        <f t="shared" si="0"/>
        <v>2.4000000000000004</v>
      </c>
      <c r="E8" s="8" t="s">
        <v>632</v>
      </c>
      <c r="F8" s="67">
        <f>'Master Item List'!T371</f>
        <v>29.5</v>
      </c>
      <c r="G8" s="67">
        <f t="shared" si="1"/>
        <v>3.6875</v>
      </c>
    </row>
    <row r="9" spans="1:7" ht="25" customHeight="1" x14ac:dyDescent="0.2">
      <c r="A9" s="8" t="s">
        <v>631</v>
      </c>
      <c r="B9" s="67">
        <f>'Master Item List'!U390</f>
        <v>15.75</v>
      </c>
      <c r="C9" s="67">
        <f t="shared" si="0"/>
        <v>1.9500000000000002</v>
      </c>
      <c r="E9" s="8" t="s">
        <v>631</v>
      </c>
      <c r="F9" s="67">
        <f>'Master Item List'!T372</f>
        <v>23.5</v>
      </c>
      <c r="G9" s="67">
        <f t="shared" si="1"/>
        <v>2.9375</v>
      </c>
    </row>
    <row r="10" spans="1:7" ht="25" customHeight="1" x14ac:dyDescent="0.2">
      <c r="A10" s="8" t="s">
        <v>635</v>
      </c>
      <c r="B10" s="67">
        <f>'Master Item List'!U391</f>
        <v>17.75</v>
      </c>
      <c r="C10" s="67">
        <f t="shared" si="0"/>
        <v>2.2000000000000002</v>
      </c>
      <c r="E10" s="8" t="s">
        <v>635</v>
      </c>
      <c r="F10" s="67">
        <f>'Master Item List'!T373</f>
        <v>27.25</v>
      </c>
      <c r="G10" s="67">
        <f t="shared" si="1"/>
        <v>3.40625</v>
      </c>
    </row>
    <row r="11" spans="1:7" ht="25" customHeight="1" x14ac:dyDescent="0.2">
      <c r="A11" s="8" t="s">
        <v>636</v>
      </c>
      <c r="B11" s="67">
        <f>'Master Item List'!U392</f>
        <v>18.25</v>
      </c>
      <c r="C11" s="67">
        <f t="shared" si="0"/>
        <v>2.3000000000000003</v>
      </c>
      <c r="E11" s="8" t="s">
        <v>636</v>
      </c>
      <c r="F11" s="67">
        <f>'Master Item List'!T374</f>
        <v>28.25</v>
      </c>
      <c r="G11" s="67">
        <f t="shared" si="1"/>
        <v>3.53125</v>
      </c>
    </row>
    <row r="12" spans="1:7" ht="25" customHeight="1" x14ac:dyDescent="0.2">
      <c r="A12" s="8" t="s">
        <v>637</v>
      </c>
      <c r="B12" s="67">
        <f>'Master Item List'!U393</f>
        <v>12.75</v>
      </c>
      <c r="C12" s="67">
        <f t="shared" si="0"/>
        <v>1.6</v>
      </c>
      <c r="E12" s="8" t="s">
        <v>637</v>
      </c>
      <c r="F12" s="67">
        <f>'Master Item List'!T375</f>
        <v>17.75</v>
      </c>
      <c r="G12" s="67">
        <f t="shared" si="1"/>
        <v>2.21875</v>
      </c>
    </row>
    <row r="13" spans="1:7" ht="25" customHeight="1" x14ac:dyDescent="0.2">
      <c r="A13" s="8" t="s">
        <v>638</v>
      </c>
      <c r="B13" s="67">
        <f>'Master Item List'!U394</f>
        <v>14.25</v>
      </c>
      <c r="C13" s="67">
        <f t="shared" si="0"/>
        <v>1.8</v>
      </c>
      <c r="E13" s="8" t="s">
        <v>638</v>
      </c>
      <c r="F13" s="67">
        <f>'Master Item List'!T376</f>
        <v>20.5</v>
      </c>
      <c r="G13" s="67">
        <f t="shared" si="1"/>
        <v>2.5625</v>
      </c>
    </row>
    <row r="14" spans="1:7" ht="25" customHeight="1" x14ac:dyDescent="0.2">
      <c r="A14" s="8" t="s">
        <v>639</v>
      </c>
      <c r="B14" s="67">
        <f>'Master Item List'!U395</f>
        <v>17.5</v>
      </c>
      <c r="C14" s="67">
        <f t="shared" si="0"/>
        <v>2.2000000000000002</v>
      </c>
      <c r="E14" s="8" t="s">
        <v>639</v>
      </c>
      <c r="F14" s="67">
        <f>'Master Item List'!T377</f>
        <v>26.5</v>
      </c>
      <c r="G14" s="67">
        <f t="shared" si="1"/>
        <v>3.3125</v>
      </c>
    </row>
    <row r="15" spans="1:7" ht="25" customHeight="1" x14ac:dyDescent="0.2">
      <c r="A15" s="8" t="s">
        <v>640</v>
      </c>
      <c r="B15" s="67">
        <f>'Master Item List'!U396</f>
        <v>18</v>
      </c>
      <c r="C15" s="67">
        <f t="shared" si="0"/>
        <v>2.25</v>
      </c>
      <c r="E15" s="8" t="s">
        <v>640</v>
      </c>
      <c r="F15" s="67">
        <f>'Master Item List'!T378</f>
        <v>27.75</v>
      </c>
      <c r="G15" s="67">
        <f t="shared" si="1"/>
        <v>3.46875</v>
      </c>
    </row>
    <row r="16" spans="1:7" ht="25" customHeight="1" x14ac:dyDescent="0.2">
      <c r="A16" s="8" t="s">
        <v>641</v>
      </c>
      <c r="B16" s="67">
        <f>'Master Item List'!U397</f>
        <v>17</v>
      </c>
      <c r="C16" s="67">
        <f t="shared" si="0"/>
        <v>2.15</v>
      </c>
      <c r="E16" s="8" t="s">
        <v>641</v>
      </c>
      <c r="F16" s="67">
        <f>'Master Item List'!T379</f>
        <v>25.5</v>
      </c>
      <c r="G16" s="67">
        <f t="shared" si="1"/>
        <v>3.1875</v>
      </c>
    </row>
    <row r="17" spans="1:7" ht="25" customHeight="1" x14ac:dyDescent="0.2">
      <c r="A17" s="8" t="s">
        <v>616</v>
      </c>
      <c r="B17" s="67">
        <f>'Master Item List'!U398</f>
        <v>16</v>
      </c>
      <c r="C17" s="67">
        <f t="shared" si="0"/>
        <v>2</v>
      </c>
      <c r="E17" s="8" t="s">
        <v>616</v>
      </c>
      <c r="F17" s="67">
        <f>'Master Item List'!T380</f>
        <v>24</v>
      </c>
      <c r="G17" s="67">
        <f t="shared" si="1"/>
        <v>3</v>
      </c>
    </row>
    <row r="18" spans="1:7" ht="25" customHeight="1" x14ac:dyDescent="0.2">
      <c r="A18" s="8" t="s">
        <v>1113</v>
      </c>
      <c r="B18" s="67">
        <f>'Master Item List'!U399</f>
        <v>19.25</v>
      </c>
      <c r="C18" s="67">
        <f t="shared" si="0"/>
        <v>2.4000000000000004</v>
      </c>
      <c r="E18" s="8" t="s">
        <v>1112</v>
      </c>
      <c r="F18" s="67">
        <f>'Master Item List'!T381</f>
        <v>30.25</v>
      </c>
      <c r="G18" s="67">
        <f t="shared" si="1"/>
        <v>3.78125</v>
      </c>
    </row>
    <row r="19" spans="1:7" ht="25" customHeight="1" x14ac:dyDescent="0.2">
      <c r="A19" s="8"/>
      <c r="B19" s="8"/>
      <c r="C19" s="8"/>
      <c r="E19" s="8"/>
      <c r="F19" s="8"/>
      <c r="G19" s="8"/>
    </row>
    <row r="20" spans="1:7" ht="25" customHeight="1" x14ac:dyDescent="0.2">
      <c r="A20" s="8" t="s">
        <v>644</v>
      </c>
      <c r="B20" s="8" t="s">
        <v>646</v>
      </c>
      <c r="C20" s="8"/>
      <c r="E20" s="8" t="s">
        <v>644</v>
      </c>
      <c r="F20" s="8" t="s">
        <v>646</v>
      </c>
      <c r="G20" s="8"/>
    </row>
    <row r="21" spans="1:7" ht="25" customHeight="1" x14ac:dyDescent="0.2">
      <c r="A21" s="8" t="s">
        <v>645</v>
      </c>
      <c r="B21" s="8" t="s">
        <v>647</v>
      </c>
      <c r="C21" s="8"/>
      <c r="E21" s="8" t="s">
        <v>645</v>
      </c>
      <c r="F21" s="8" t="s">
        <v>647</v>
      </c>
      <c r="G21" s="8"/>
    </row>
  </sheetData>
  <mergeCells count="2">
    <mergeCell ref="A1:C1"/>
    <mergeCell ref="E1:G1"/>
  </mergeCells>
  <pageMargins left="1" right="1" top="1" bottom="1" header="0.5" footer="0.5"/>
  <pageSetup scale="47" orientation="portrait" horizontalDpi="0" verticalDpi="0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Raw Cost</vt:lpstr>
      <vt:lpstr>Packaging Cost</vt:lpstr>
      <vt:lpstr>Master Item List</vt:lpstr>
      <vt:lpstr>NEW MARK UP LIST</vt:lpstr>
      <vt:lpstr>Combo Pricing</vt:lpstr>
      <vt:lpstr>COMPLETE MARK UP </vt:lpstr>
      <vt:lpstr>Labor Cost</vt:lpstr>
      <vt:lpstr>FRUIT CUPS</vt:lpstr>
      <vt:lpstr>'Master Item List'!_FilterDatabase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Southern Produce Inc.</dc:creator>
  <cp:lastModifiedBy>Luis Hernandez</cp:lastModifiedBy>
  <cp:lastPrinted>2026-03-25T13:07:48Z</cp:lastPrinted>
  <dcterms:created xsi:type="dcterms:W3CDTF">2020-07-21T14:42:18Z</dcterms:created>
  <dcterms:modified xsi:type="dcterms:W3CDTF">2026-03-27T14:05:54Z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etDate">
    <vt:lpwstr>2020-07-21T15:43:05Z</vt:lpwstr>
  </property>
  <property fmtid="{D5CDD505-2E9C-101B-9397-08002B2CF9AE}" pid="4" name="MSIP_Label_f42aa342-8706-4288-bd11-ebb85995028c_Method">
    <vt:lpwstr>Standard</vt:lpwstr>
  </property>
  <property fmtid="{D5CDD505-2E9C-101B-9397-08002B2CF9AE}" pid="5" name="MSIP_Label_f42aa342-8706-4288-bd11-ebb85995028c_Name">
    <vt:lpwstr>Internal</vt:lpwstr>
  </property>
  <property fmtid="{D5CDD505-2E9C-101B-9397-08002B2CF9AE}" pid="6" name="MSIP_Label_f42aa342-8706-4288-bd11-ebb85995028c_SiteId">
    <vt:lpwstr>72f988bf-86f1-41af-91ab-2d7cd011db47</vt:lpwstr>
  </property>
  <property fmtid="{D5CDD505-2E9C-101B-9397-08002B2CF9AE}" pid="7" name="MSIP_Label_f42aa342-8706-4288-bd11-ebb85995028c_ActionId">
    <vt:lpwstr>96e129c6-eb4f-485b-8358-022ee047ea19</vt:lpwstr>
  </property>
  <property fmtid="{D5CDD505-2E9C-101B-9397-08002B2CF9AE}" pid="8" name="MSIP_Label_f42aa342-8706-4288-bd11-ebb85995028c_ContentBits">
    <vt:lpwstr>0</vt:lpwstr>
  </property>
</Properties>
</file>